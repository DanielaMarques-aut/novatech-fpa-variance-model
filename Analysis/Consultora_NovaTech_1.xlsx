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awData" sheetId="1" state="visible" r:id="rId3"/>
    <sheet name="YoY Bridge" sheetId="2" state="visible" r:id="rId4"/>
    <sheet name="Drivers" sheetId="3" state="visible" r:id="rId5"/>
    <sheet name="Variance" sheetId="4" state="visible" r:id="rId6"/>
    <sheet name="P&amp;L" sheetId="5" state="visible" r:id="rId7"/>
    <sheet name="Dashboard" sheetId="6" state="visible" r:id="rId8"/>
    <sheet name="_Info" sheetId="7" state="visible" r:id="rId9"/>
    <sheet name="Forecast" sheetId="8" state="visible" r:id="rId10"/>
    <sheet name="Assumption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<sst xmlns="http://schemas.openxmlformats.org/spreadsheetml/2006/main" count="597" uniqueCount="361">
  <si>
    <t xml:space="preserve">Year</t>
  </si>
  <si>
    <t xml:space="preserve">Month</t>
  </si>
  <si>
    <t xml:space="preserve">Month_Num</t>
  </si>
  <si>
    <t xml:space="preserve">Revenue_Consulting</t>
  </si>
  <si>
    <t xml:space="preserve">Revenue_ManagedServices</t>
  </si>
  <si>
    <t xml:space="preserve">Cost_Personnel</t>
  </si>
  <si>
    <t xml:space="preserve">Cost_Operations</t>
  </si>
  <si>
    <t xml:space="preserve">Cost_Other</t>
  </si>
  <si>
    <t xml:space="preserve">Budget_RevConsulting</t>
  </si>
  <si>
    <t xml:space="preserve">Budget_RevMS</t>
  </si>
  <si>
    <t xml:space="preserve">Budget_CostPersonnel</t>
  </si>
  <si>
    <t xml:space="preserve">Budget_CostOps</t>
  </si>
  <si>
    <t xml:space="preserve">Budget_CostOther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</si>
  <si>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</si>
  <si>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</si>
  <si>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</si>
  <si>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</si>
  <si>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</si>
  <si>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</si>
  <si>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</si>
  <si>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</si>
  <si>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</si>
  <si>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</si>
  <si>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</si>
  <si>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</si>
  <si>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Source: NovaTech Consulting Lda. — Internal Financial Data (Fictitious)</t>
  </si>
  <si>
    <t xml:space="preserve">NOTE: December values absorb rounding </t>
  </si>
  <si>
    <t xml:space="preserve">NovaTech — YoY Revenue Bridge 2022 → 2023 (Wednesday) | 2023 → 2024 (Friday)</t>
  </si>
  <si>
    <t xml:space="preserve">Bridge = Opening + Volume effect + Rate effect + Mix effect = Closing. Each component explains ONE cause.</t>
  </si>
  <si>
    <t xml:space="preserve">Component</t>
  </si>
  <si>
    <t xml:space="preserve">€ Amount</t>
  </si>
  <si>
    <t xml:space="preserve">% of Opening Rev</t>
  </si>
  <si>
    <t xml:space="preserve">Formula</t>
  </si>
  <si>
    <t xml:space="preserve">Explanation</t>
  </si>
  <si>
    <t xml:space="preserve">REVENUE BRIDGE: 2022 → 2023</t>
  </si>
  <si>
    <t xml:space="preserve">Opening Revenue 2022</t>
  </si>
  <si>
    <t xml:space="preserve">historical total</t>
  </si>
  <si>
    <t xml:space="preserve">Starting point — 2022 actual revenue</t>
  </si>
  <si>
    <t xml:space="preserve">Volume effect</t>
  </si>
  <si>
    <t xml:space="preserve">(HC23−HC22) × Rate22 × 12</t>
  </si>
  <si>
    <t xml:space="preserve">(47−42) × €4,000 × 12 = +€240,000
More people at same rate))</t>
  </si>
  <si>
    <t xml:space="preserve">Rate effect</t>
  </si>
  <si>
    <t xml:space="preserve">HC23 × (Rate23−Rate22) × 12</t>
  </si>
  <si>
    <t xml:space="preserve">47 × €300 × 12 = +€169,200
Same people, higher billing rate</t>
  </si>
  <si>
    <t xml:space="preserve">Mix effect</t>
  </si>
  <si>
    <t xml:space="preserve">0 (stable mix)</t>
  </si>
  <si>
    <t xml:space="preserve">MS stayed at ~20% of total — no mix shift</t>
  </si>
  <si>
    <t xml:space="preserve">Closing Revenue 2023</t>
  </si>
  <si>
    <t xml:space="preserve">opening + all effects</t>
  </si>
  <si>
    <t xml:space="preserve">Actual: €2,509,200 | Bridge: €2,400,000
⚠ Gap of €-109,200 = rounding in rate assumption</t>
  </si>
  <si>
    <t xml:space="preserve">REVENUE BRIDGE: 2023 → 2024</t>
  </si>
  <si>
    <t xml:space="preserve">Opening Revenue 2023</t>
  </si>
  <si>
    <t xml:space="preserve">Starting point — 2023 actual revenue</t>
  </si>
  <si>
    <t xml:space="preserve">(HC24−HC23) × Rate23 × 12</t>
  </si>
  <si>
    <t xml:space="preserve">(52−47) × €4,300 × 12 = +€258,000
More people at same rate))</t>
  </si>
  <si>
    <t xml:space="preserve">HC24 × (Rate24−Rate23) × 12</t>
  </si>
  <si>
    <t xml:space="preserve">52 × €300 × 12 = +€187,200
Same people, higher billing rate</t>
  </si>
  <si>
    <t xml:space="preserve">Closing Revenue 2024</t>
  </si>
  <si>
    <t xml:space="preserve">Actual: €2,650,000 | Bridge: €2,845,200
⚠ Gap of €-195,800 = rounding in rate assumption</t>
  </si>
  <si>
    <t xml:space="preserve">EBITDA SUMMARY</t>
  </si>
  <si>
    <t xml:space="preserve">Revenue</t>
  </si>
  <si>
    <t xml:space="preserve">Total Costs</t>
  </si>
  <si>
    <t xml:space="preserve">EBITDA</t>
  </si>
  <si>
    <t xml:space="preserve">EBITDA Margin %</t>
  </si>
  <si>
    <t xml:space="preserve">NovaTech Consulting Lda. — Business Drivers (Input Sheet)</t>
  </si>
  <si>
    <t xml:space="preserve">YELLOW = assumption  | BLUE text = formula (calculated) | Change yellow cells to model scenarios</t>
  </si>
  <si>
    <t xml:space="preserve">HEADCOUNT (FTE) — monthly</t>
  </si>
  <si>
    <t xml:space="preserve">AVG</t>
  </si>
  <si>
    <t xml:space="preserve">Assumption note</t>
  </si>
  <si>
    <t xml:space="preserve">ASSUMPTION — 42 FTEs year-end 2022. Monthly values estimated with slight ramp.</t>
  </si>
  <si>
    <t xml:space="preserve">ASSUMPTION — 47 FTEs year-end 2023. +5 FTEs vs 2022.</t>
  </si>
  <si>
    <t xml:space="preserve">ASSUMPTION — 52 FTEs year-end 2024. +5 FTEs vs 2023. Change this to model scenarios.</t>
  </si>
  <si>
    <t xml:space="preserve">BILLING RATE (€/head/month) — consulting only</t>
  </si>
  <si>
    <t xml:space="preserve">AVG Rate</t>
  </si>
  <si>
    <t xml:space="preserve">ASSUMPTION — €4,000/month derived from: €1,680,000 ÷ 42 HC ÷ 12 = €3,333. Rounded up to reflect blended rate incl. MS.</t>
  </si>
  <si>
    <t xml:space="preserve">ASSUMPTION — €4,300/month. €1,9210,00 ÷ 47 ÷ 12 = €3,404. Rate increase reflects mix improvement.</t>
  </si>
  <si>
    <t xml:space="preserve">ASSUMPTION — €4,600/month. €2,12,4000 ÷ 52 ÷ 12 = €3,390</t>
  </si>
  <si>
    <t xml:space="preserve">MANAGED SERVICES REVENUE (flat — recurring contracts)</t>
  </si>
  <si>
    <t xml:space="preserve">ASSUMPTION — €420,000/year ÷ 12 = €35,000/month flat. Recurring contracts.</t>
  </si>
  <si>
    <t xml:space="preserve">ASSUMPTION — €480,000/year ÷ 12 = €40,000/month flat. Recurring contracts.</t>
  </si>
  <si>
    <t xml:space="preserve">ASSUMPTION — €530,000/year ÷ 12 = €44,200/month flat. Recurring contracts.</t>
  </si>
  <si>
    <t xml:space="preserve">COST PER HEAD SUMMARY (derived — do not edit)</t>
  </si>
  <si>
    <t xml:space="preserve">Total Personnel Cost</t>
  </si>
  <si>
    <t xml:space="preserve">Avg HC</t>
  </si>
  <si>
    <t xml:space="preserve">Cost/Head/Year</t>
  </si>
  <si>
    <t xml:space="preserve">Cost/Head/Month</t>
  </si>
  <si>
    <t xml:space="preserve">Note</t>
  </si>
  <si>
    <t xml:space="preserve">DERIVED from RawData </t>
  </si>
  <si>
    <t xml:space="preserve">Opretional Costs</t>
  </si>
  <si>
    <t xml:space="preserve">Total Operational Cost</t>
  </si>
  <si>
    <t xml:space="preserve">Total revenue</t>
  </si>
  <si>
    <t xml:space="preserve">% Revenue</t>
  </si>
  <si>
    <t xml:space="preserve">Other Costs</t>
  </si>
  <si>
    <t xml:space="preserve">Total Other Costs</t>
  </si>
  <si>
    <t xml:space="preserve">NovaTech Consulting Lda. — Variance Analysis:Budget 2025 vs Actuals</t>
  </si>
  <si>
    <t xml:space="preserve">Actuals = 2024 data (proxy) | Budget = 2025 targets from RawData | Variance = Actual - Budget</t>
  </si>
  <si>
    <t xml:space="preserve">Category</t>
  </si>
  <si>
    <t xml:space="preserve">Fev </t>
  </si>
  <si>
    <t xml:space="preserve">May </t>
  </si>
  <si>
    <t xml:space="preserve">TOTAL</t>
  </si>
  <si>
    <t xml:space="preserve">Var € Total</t>
  </si>
  <si>
    <t xml:space="preserve">Var % Total</t>
  </si>
  <si>
    <t xml:space="preserve">Comments</t>
  </si>
  <si>
    <t xml:space="preserve">Consulting Fees</t>
  </si>
  <si>
    <t xml:space="preserve">"Abaixo do budget em 8.6% — shortfall consistente em todos os meses sugere problema de volume (menos FTEs que planeado) ou billing rate abaixo do assumido. Não é problema sazonal." </t>
  </si>
  <si>
    <t xml:space="preserve">Managed Services</t>
  </si>
  <si>
    <t xml:space="preserve">Abaixo do budget em 8.6%. MS é receita recorrente flat — variância negativa uniforme indica contratos renovados abaixo do valor orçamentado para 2025." </t>
  </si>
  <si>
    <t xml:space="preserve">Total Revenue</t>
  </si>
  <si>
    <t xml:space="preserve">"Shortfall total de €248,700. Variância idêntica em % nas duas linhas elimina mix como causa — problema de volume ou preço." </t>
  </si>
  <si>
    <t xml:space="preserve">Costs</t>
  </si>
  <si>
    <t xml:space="preserve">Personnel</t>
  </si>
  <si>
    <t xml:space="preserve">"Custos abaixo do budget em 8.6% — proporcional ao shortfall de receita. Não é poupança real: reflecte headcount abaixo do plano que causou simultaneamente menos receita e menos custo." </t>
  </si>
  <si>
    <t xml:space="preserve">Operations</t>
  </si>
  <si>
    <t xml:space="preserve">"Abaixo do budget em 8.6% — custos variáveis que escalaram com a actividade. Comportamento esperado e proporcional." </t>
  </si>
  <si>
    <t xml:space="preserve">Other</t>
  </si>
  <si>
    <t xml:space="preserve">"Abaixo do budget em 8.5% — ligeiramente menos proporcional, sugerindo pequena componente fixa." </t>
  </si>
  <si>
    <t xml:space="preserve">"EBITDA abaixo em valor absoluto- O problema é de volume — a empresa foi eficiente mas não gerou actividade suficiente para atingir o budget." </t>
  </si>
  <si>
    <t xml:space="preserve">Check</t>
  </si>
  <si>
    <t xml:space="preserve">+</t>
  </si>
  <si>
    <t xml:space="preserve">0;</t>
  </si>
  <si>
    <t xml:space="preserve">(</t>
  </si>
  <si>
    <t xml:space="preserve">Actual Revenue 2024</t>
  </si>
  <si>
    <t xml:space="preserve">Budget Revenue 2025</t>
  </si>
  <si>
    <t xml:space="preserve">Variance €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</si>
  <si>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</si>
  <si>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</si>
  <si>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</si>
  <si>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</si>
  <si>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</si>
  <si>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</si>
  <si>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</si>
  <si>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</si>
  <si>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</si>
  <si>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</si>
  <si>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)</t>
  </si>
  <si>
    <t xml:space="preserve">nov</t>
  </si>
  <si>
    <t xml:space="preserve">/</t>
  </si>
  <si>
    <t xml:space="preserve">dez</t>
  </si>
  <si>
    <t xml:space="preserve">Actual Cost 2024</t>
  </si>
  <si>
    <t xml:space="preserve">Budget Cost 2025</t>
  </si>
  <si>
    <t xml:space="preserve">-</t>
  </si>
  <si>
    <t xml:space="preserve">NovaTech Consulting Lda. — Profit &amp; Loss Statement</t>
  </si>
  <si>
    <t xml:space="preserve">Row Label</t>
  </si>
  <si>
    <t xml:space="preserve">% of Revenue</t>
  </si>
  <si>
    <t xml:space="preserve">  Consulting Fees</t>
  </si>
  <si>
    <t xml:space="preserve">  Managed Services</t>
  </si>
  <si>
    <t xml:space="preserve">  Personnel</t>
  </si>
  <si>
    <t xml:space="preserve">  Operations</t>
  </si>
  <si>
    <t xml:space="preserve">  Other</t>
  </si>
  <si>
    <t xml:space="preserve">GROSS PROFIT</t>
  </si>
  <si>
    <t xml:space="preserve">  EBITDA Margin %</t>
  </si>
  <si>
    <t xml:space="preserve">D&amp;A (2% rev)</t>
  </si>
  <si>
    <t xml:space="preserve">EBIT</t>
  </si>
  <si>
    <t xml:space="preserve">Tax (21%)</t>
  </si>
  <si>
    <t xml:space="preserve">NET INCOME</t>
  </si>
  <si>
    <t xml:space="preserve">Dashboard — to be built in Week 5 (Power BI)</t>
  </si>
  <si>
    <t xml:space="preserve">NovaTech Consulting Lda. — Modelo FP&amp;A</t>
  </si>
  <si>
    <t xml:space="preserve">FICHEIRO FICTÍCIO para prática de FP&amp;A</t>
  </si>
  <si>
    <t xml:space="preserve">ESTRUTURA:</t>
  </si>
  <si>
    <t xml:space="preserve">  RawData   → Dados históricos mensais 2022-2024 + Budget 2025</t>
  </si>
  <si>
    <t xml:space="preserve">  P&amp;L       → Estrutura do P&amp;L (fórmulas a construir na Semana 2)</t>
  </si>
  <si>
    <t xml:space="preserve">  Dashboard → Vazio (Power BI na Semana 5)</t>
  </si>
  <si>
    <t xml:space="preserve">CONVENÇÕES DE CORES:</t>
  </si>
  <si>
    <t xml:space="preserve">  Texto azul   → Inputs hardcoded (números que podes alterar)</t>
  </si>
  <si>
    <t xml:space="preserve">  Texto preto  → Fórmulas calculadas</t>
  </si>
  <si>
    <t xml:space="preserve">  Texto verde  → Links de outras sheets</t>
  </si>
  <si>
    <t xml:space="preserve">EMPRESA:</t>
  </si>
  <si>
    <t xml:space="preserve">  Consultora de IT e gestão, Lisboa</t>
  </si>
  <si>
    <t xml:space="preserve">  40-55 colaboradores, revenues ~€2.1M-2.65M (2022-2024)</t>
  </si>
  <si>
    <t xml:space="preserve">  Sazonalidade: Q1 fraco (~20%), Q2-Q3 forte (~55%), Q4 médio (~25%)</t>
  </si>
  <si>
    <t xml:space="preserve">THREE FORECAST METHODS: Flat (avg last 3 months) | Trend (linear projection) | Manual (set directly). Switch method in B4. All methods feed the same P&amp;L structure.</t>
  </si>
  <si>
    <t xml:space="preserve">FORECAST METHOD GUIDE — read before using</t>
  </si>
  <si>
    <t xml:space="preserve">FLAT</t>
  </si>
  <si>
    <t xml:space="preserve">Revenue = average of last 3 months of 2024 (Oct-Dec), applied to each month of 2025.</t>
  </si>
  <si>
    <t xml:space="preserve">Use when: no strong trend, business is stable. Pros: simple, anchored to recent reality. Cons: ignores growth trend.</t>
  </si>
  <si>
    <t xml:space="preserve">TREND</t>
  </si>
  <si>
    <t xml:space="preserve">Revenue = linear regression on 2024 monthly actuals, projected 12 months forward.</t>
  </si>
  <si>
    <t xml:space="preserve">Use when: clear upward or downward trend in data. Pros: data-driven. Cons: assumes trend continues indefinitely.</t>
  </si>
  <si>
    <t xml:space="preserve">MANUAL</t>
  </si>
  <si>
    <t xml:space="preserve">Revenue = values you enter directly in the yellow input rows below.</t>
  </si>
  <si>
    <t xml:space="preserve">Use when: you have specific business knowledge (e.g. signed contracts, planned hiring). Pros: most flexible. Cons: subjective.</t>
  </si>
  <si>
    <t xml:space="preserve">FORECAST CONTROLS — yellow cells are inputs</t>
  </si>
  <si>
    <t xml:space="preserve">Forecast Method:</t>
  </si>
  <si>
    <t xml:space="preserve">Flat</t>
  </si>
  <si>
    <t xml:space="preserve">← Change to: Flat | Trend | Manual</t>
  </si>
  <si>
    <t xml:space="preserve">Forecast HC (FTEs):</t>
  </si>
  <si>
    <t xml:space="preserve">TOTAL/AVG</t>
  </si>
  <si>
    <t xml:space="preserve">Source</t>
  </si>
  <si>
    <t xml:space="preserve">Formula logic</t>
  </si>
  <si>
    <t xml:space="preserve">2025 HC</t>
  </si>
  <si>
    <t xml:space="preserve">ASSUMPTION — 55 FTEs planned 2025</t>
  </si>
  <si>
    <t xml:space="preserve">Manual input. Change per month if hiring plan varies.</t>
  </si>
  <si>
    <t xml:space="preserve">Forecast Rate (€/head):</t>
  </si>
  <si>
    <t xml:space="preserve">ASSUMPTION — €4,900 (+€300 YoY trend)</t>
  </si>
  <si>
    <t xml:space="preserve">Manual input. Rate 2022=€4,000 | 2023=€4,300 | 2024=€4,600 → trend = +€300/year.</t>
  </si>
  <si>
    <t xml:space="preserve">Forecast Utilization:</t>
  </si>
  <si>
    <t xml:space="preserve">ASSUMPTION — 2024 avg ~82%, +2pp YoY</t>
  </si>
  <si>
    <t xml:space="preserve">Seasonal pattern from 2024 Drivers + 2pp improvement. Q1 lower (clients slow to start), Q2-Q3 peak.</t>
  </si>
  <si>
    <t xml:space="preserve">METHOD CALCULATIONS — Consulting Revenue only (MS is always flat)</t>
  </si>
  <si>
    <t xml:space="preserve">Method</t>
  </si>
  <si>
    <t xml:space="preserve">Notes</t>
  </si>
  <si>
    <t xml:space="preserve">FORMULA: AVG(Oct24, Nov24, Dec24) = each month same value</t>
  </si>
  <si>
    <t xml:space="preserve">FORMULA: INTERCEPT(2024 actuals, months 1-12) + SLOPE × month_number
Month 13=Jan25, 14=Feb25... 24=Dec25
RawData col C = Month_Num, col D = Rev_Consulting</t>
  </si>
  <si>
    <t xml:space="preserve">FORMULA: HC × Rate × Utilization (rows 10, 11, 12)
Change inputs in rows 10-12 to adjust. Most flexible method.</t>
  </si>
  <si>
    <t xml:space="preserve">ACTIVE (→ P&amp;L)</t>
  </si>
  <si>
    <t xml:space="preserve">FORECAST P&amp;L 2025 — updates when method or inputs change</t>
  </si>
  <si>
    <t xml:space="preserve">% of Rev</t>
  </si>
  <si>
    <t xml:space="preserve">Formula / Source</t>
  </si>
  <si>
    <t xml:space="preserve">active row 19 (method-selected revenue)</t>
  </si>
  <si>
    <t xml:space="preserve">drivers ms 2024 × 1.094 (+9.4% growth to €580K based on rawdata 2025 budget)</t>
  </si>
  <si>
    <t xml:space="preserve">TOTAL REVENUE</t>
  </si>
  <si>
    <t xml:space="preserve">consulting + ms</t>
  </si>
  <si>
    <t xml:space="preserve">hc (row 10) × Cost/head/month (Drivers E25)</t>
  </si>
  <si>
    <t xml:space="preserve">revenue × 8.0% (historical avg 2022-2024)</t>
  </si>
  <si>
    <t xml:space="preserve">revenue × 4.0% (historical avg 2022-2024)</t>
  </si>
  <si>
    <t xml:space="preserve">TOTAL COSTS</t>
  </si>
  <si>
    <t xml:space="preserve">personnel + operations + other</t>
  </si>
  <si>
    <t xml:space="preserve">gross profit (no d&amp;a at this level)</t>
  </si>
  <si>
    <t xml:space="preserve">ebitda / revenue</t>
  </si>
  <si>
    <t xml:space="preserve">revenue × 2% (assumption — low asset base)</t>
  </si>
  <si>
    <t xml:space="preserve">ebitda - d&amp;a</t>
  </si>
  <si>
    <t xml:space="preserve">Tax (21% IRC)</t>
  </si>
  <si>
    <t xml:space="preserve">ebit × 21% if positive (Portugal IRC 2024)</t>
  </si>
  <si>
    <t xml:space="preserve">ebit - tax</t>
  </si>
  <si>
    <t xml:space="preserve">SCENARIO ANALYSIS — Base / Upside / Downside</t>
  </si>
  <si>
    <t xml:space="preserve">Change B43 to switch scenario. All rows below update automatically via IF formulas.</t>
  </si>
  <si>
    <t xml:space="preserve">Active Scenario:</t>
  </si>
  <si>
    <t xml:space="preserve">Base</t>
  </si>
  <si>
    <t xml:space="preserve">SCENARIO DEFINITIONS</t>
  </si>
  <si>
    <t xml:space="preserve">Scenario</t>
  </si>
  <si>
    <t xml:space="preserve">HC</t>
  </si>
  <si>
    <t xml:space="preserve">Rate €/head</t>
  </si>
  <si>
    <t xml:space="preserve">Util avg</t>
  </si>
  <si>
    <t xml:space="preserve">Rev Est.</t>
  </si>
  <si>
    <t xml:space="preserve">EBITDA Est.</t>
  </si>
  <si>
    <t xml:space="preserve">vs Base</t>
  </si>
  <si>
    <t xml:space="preserve">Rationale</t>
  </si>
  <si>
    <t xml:space="preserve">82%</t>
  </si>
  <si>
    <t xml:space="preserve">—</t>
  </si>
  <si>
    <t xml:space="preserve">Trend continuation: +3 HC, +€300 rate, +2pp util vs 2024.</t>
  </si>
  <si>
    <t xml:space="preserve">Upside</t>
  </si>
  <si>
    <t xml:space="preserve">86%</t>
  </si>
  <si>
    <t xml:space="preserve">5 more FTEs, stronger rate, better utilization. Optimistic.</t>
  </si>
  <si>
    <t xml:space="preserve">Downside</t>
  </si>
  <si>
    <t xml:space="preserve">78%</t>
  </si>
  <si>
    <t xml:space="preserve">Headcount below plan, rate pressure, lower utilization.</t>
  </si>
  <si>
    <t xml:space="preserve">SCENARIO P&amp;L — updates when you change Active Scenario above</t>
  </si>
  <si>
    <t xml:space="preserve">% Rev</t>
  </si>
  <si>
    <t xml:space="preserve">SE(base;55;SE(upside;60;50)) × IF(Base,4900,IF(Upside,5000,4700)) × seasonal util</t>
  </si>
  <si>
    <t xml:space="preserve">same as p&amp;l (flat ms revenue; independent of scenario)</t>
  </si>
  <si>
    <t xml:space="preserve">SE(base;55;SE(upside;60;50)) × Drivers!E25 (cost/head/month 2024)</t>
  </si>
  <si>
    <t xml:space="preserve">revenue × 8%</t>
  </si>
  <si>
    <t xml:space="preserve">revenue × 4%</t>
  </si>
  <si>
    <t xml:space="preserve">revenue - total costs</t>
  </si>
  <si>
    <t xml:space="preserve">SENSITIVITY TABLES — all values calculated by formula</t>
  </si>
  <si>
    <t xml:space="preserve">Three tables: (1) HC sensitivity | (2) Rate sensitivity | (3) Utilization sensitivity. All use Base assumptions except the variable being tested. Formulas reference Drivers and P&amp;L rows.</t>
  </si>
  <si>
    <t xml:space="preserve">TABLE 1 — EBITDA vs Headcount (Rate=€4,900, Util=82% avg fixed)</t>
  </si>
  <si>
    <t xml:space="preserve">HC (FTEs)</t>
  </si>
  <si>
    <t xml:space="preserve">Consulting Rev</t>
  </si>
  <si>
    <t xml:space="preserve">MS Rev</t>
  </si>
  <si>
    <t xml:space="preserve">Total Rev</t>
  </si>
  <si>
    <t xml:space="preserve">Ops+Other</t>
  </si>
  <si>
    <t xml:space="preserve">Margin %</t>
  </si>
  <si>
    <t xml:space="preserve">← ~Base (55 FTEs)</t>
  </si>
  <si>
    <t xml:space="preserve">TABLE 2 — EBITDA vs Billing Rate (HC=55, Util=82% avg fixed)</t>
  </si>
  <si>
    <t xml:space="preserve">TABLE 3 — EBITDA vs Utilization (HC=55, Rate=€4,900 fixed)</t>
  </si>
  <si>
    <t xml:space="preserve">Utilization</t>
  </si>
  <si>
    <t xml:space="preserve">← Base (82% avg)</t>
  </si>
  <si>
    <t xml:space="preserve">Model Assumptions — NovaTech Consulting Lda.</t>
  </si>
  <si>
    <t xml:space="preserve">Assumption</t>
  </si>
  <si>
    <t xml:space="preserve">Value</t>
  </si>
  <si>
    <t xml:space="preserve">Source / Notes</t>
  </si>
  <si>
    <t xml:space="preserve">SEASONALITY</t>
  </si>
  <si>
    <t xml:space="preserve">MS revenue distribution</t>
  </si>
  <si>
    <t xml:space="preserve">FLAT (÷12)</t>
  </si>
  <si>
    <t xml:space="preserve">Recurring contracts — equal monthly payment. This is intentional and correct.</t>
  </si>
  <si>
    <t xml:space="preserve">January weight</t>
  </si>
  <si>
    <t xml:space="preserve">6.0%</t>
  </si>
  <si>
    <t xml:space="preserve">Estimate based on typical IT consultancy pattern — Q1 slow start</t>
  </si>
  <si>
    <t xml:space="preserve">February weight</t>
  </si>
  <si>
    <t xml:space="preserve">6.5%</t>
  </si>
  <si>
    <t xml:space="preserve">Estimate — gradually increasing</t>
  </si>
  <si>
    <t xml:space="preserve">March weight</t>
  </si>
  <si>
    <t xml:space="preserve">7.5%</t>
  </si>
  <si>
    <t xml:space="preserve">Estimate — end of Q1 pickup</t>
  </si>
  <si>
    <t xml:space="preserve">April–June weight</t>
  </si>
  <si>
    <t xml:space="preserve">~9.0-9.5% each</t>
  </si>
  <si>
    <t xml:space="preserve">Estimate — Q2 peak activity</t>
  </si>
  <si>
    <t xml:space="preserve">July–September weight</t>
  </si>
  <si>
    <t xml:space="preserve">~8.5-9.5% each</t>
  </si>
  <si>
    <t xml:space="preserve">Estimate — Q3 strong, slight Aug dip</t>
  </si>
  <si>
    <t xml:space="preserve">October–December weight</t>
  </si>
  <si>
    <t xml:space="preserve">~8.0-8.5% each</t>
  </si>
  <si>
    <t xml:space="preserve">Estimate — Q4 moderate</t>
  </si>
  <si>
    <t xml:space="preserve">Internal estimate</t>
  </si>
  <si>
    <t xml:space="preserve">⚠ To be recalculated from historical data in Week 4 forecasting model</t>
  </si>
  <si>
    <t xml:space="preserve">FINANCIAL ASSUMPTIONS</t>
  </si>
  <si>
    <t xml:space="preserve">D&amp;A rate</t>
  </si>
  <si>
    <t xml:space="preserve">2% of Revenue</t>
  </si>
  <si>
    <t xml:space="preserve">Assumption — low asset base for consultancy(conservative)</t>
  </si>
  <si>
    <t xml:space="preserve">IRC Tax rate</t>
  </si>
  <si>
    <t xml:space="preserve">21%</t>
  </si>
  <si>
    <t xml:space="preserve">Portugal corporate tax rate 2024</t>
  </si>
  <si>
    <t xml:space="preserve">DRIVER ASSUMPTIONS</t>
  </si>
  <si>
    <t xml:space="preserve">Headcount 2022 (year-end)</t>
  </si>
  <si>
    <t xml:space="preserve">42 FTEs</t>
  </si>
  <si>
    <t xml:space="preserve">ASSUMPTION — not directly in RawData. Consistent with cost/head implied by data.</t>
  </si>
  <si>
    <t xml:space="preserve">Headcount 2023 (year-end)</t>
  </si>
  <si>
    <t xml:space="preserve">47 FTEs</t>
  </si>
  <si>
    <t xml:space="preserve">ASSUMPTION — +5 FTEs vs 2022.</t>
  </si>
  <si>
    <t xml:space="preserve">Headcount 2024 (year-end)</t>
  </si>
  <si>
    <t xml:space="preserve">52 FTEs</t>
  </si>
  <si>
    <t xml:space="preserve">ASSUMPTION — +5 FTEs vs 2023.</t>
  </si>
  <si>
    <t xml:space="preserve">Headcount 2025 (year-end)</t>
  </si>
  <si>
    <t xml:space="preserve">55 FTEs</t>
  </si>
  <si>
    <t xml:space="preserve">ASSUMPTION — +3 vs 2024 </t>
  </si>
  <si>
    <t xml:space="preserve">Billing rate 2022</t>
  </si>
  <si>
    <t xml:space="preserve">€4,000/head/month</t>
  </si>
  <si>
    <t xml:space="preserve">ASSUMPTION — approx: €1,680K ÷ 42 HC ÷ 12 = €3,333. Rounded up for blended rate.</t>
  </si>
  <si>
    <t xml:space="preserve">Billing rate 2023</t>
  </si>
  <si>
    <t xml:space="preserve">€4,300/head/month</t>
  </si>
  <si>
    <t xml:space="preserve">ASSUMPTION — +€300 YoY rate increase.</t>
  </si>
  <si>
    <t xml:space="preserve">Billing rate 2024</t>
  </si>
  <si>
    <t xml:space="preserve">€4,600/head/month</t>
  </si>
  <si>
    <t xml:space="preserve">ASSUMPTION — +€300 YoY rate increase. Change in Drivers sheet.</t>
  </si>
  <si>
    <t xml:space="preserve">Billing rate 2025</t>
  </si>
  <si>
    <t xml:space="preserve">€4,900/head/month</t>
  </si>
  <si>
    <t xml:space="preserve">ASSUMPTION — +€300 YoY consistent with 2022-2024 trend). </t>
  </si>
  <si>
    <t xml:space="preserve">Personnel % of Revenue</t>
  </si>
  <si>
    <t xml:space="preserve">65.0%</t>
  </si>
  <si>
    <t xml:space="preserve">DERIVED — consistent across 2022–2024. Confirmed from RawData: 1,365K/2,100K = 65.0%.</t>
  </si>
  <si>
    <t xml:space="preserve">Operations % of Revenue</t>
  </si>
  <si>
    <t xml:space="preserve">8.0% </t>
  </si>
  <si>
    <t xml:space="preserve">DERIVED — consistent across 2022–2024. Confirmed from RawData.</t>
  </si>
  <si>
    <t xml:space="preserve">Other % of Revenue</t>
  </si>
  <si>
    <t xml:space="preserve">4.0%</t>
  </si>
  <si>
    <t xml:space="preserve">DERIVED — consistent across 2022–2024.</t>
  </si>
  <si>
    <t xml:space="preserve">ASSUMPTION — +2pp vs 2024 (consistent YoY improvement). Seasonal pattern maintained.</t>
  </si>
  <si>
    <t xml:space="preserve">VARIANCE CONVENTION</t>
  </si>
  <si>
    <t xml:space="preserve">Revenue variance</t>
  </si>
  <si>
    <t xml:space="preserve">Actual - Budget</t>
  </si>
  <si>
    <t xml:space="preserve">Positive = outperformed budget (good). Negative = missed budget (bad).</t>
  </si>
  <si>
    <t xml:space="preserve">Cost variance</t>
  </si>
  <si>
    <t xml:space="preserve">Budget - Actual</t>
  </si>
  <si>
    <t xml:space="preserve">Positive = under budget (good). Negative = over budget (bad).</t>
  </si>
  <si>
    <t xml:space="preserve">EBITDA variance</t>
  </si>
  <si>
    <t xml:space="preserve">Positive = better than planned (good). CHECK: should = RevVar + CostVar.</t>
  </si>
  <si>
    <t xml:space="preserve">EBITDA Margin variance</t>
  </si>
  <si>
    <t xml:space="preserve">Actual margin − Budget margin</t>
  </si>
  <si>
    <t xml:space="preserve">In percentage points (pp). Expected ~0.0pp since costs scale proportionally with revenue.</t>
  </si>
  <si>
    <t xml:space="preserve">MODEL VERSION</t>
  </si>
  <si>
    <t xml:space="preserve">Version</t>
  </si>
  <si>
    <t xml:space="preserve">Week 4</t>
  </si>
  <si>
    <t xml:space="preserve">Variance Analysis complete + P&amp;L + Drivers — Forecasting in Week 4</t>
  </si>
  <si>
    <t xml:space="preserve">Last updated</t>
  </si>
  <si>
    <t xml:space="preserve">June 2026</t>
  </si>
  <si>
    <t xml:space="preserve">Author</t>
  </si>
  <si>
    <t xml:space="preserve">Daniela Marques</t>
  </si>
  <si>
    <t xml:space="preserve">Known limitations</t>
  </si>
  <si>
    <t xml:space="preserve">See below</t>
  </si>
  <si>
    <t xml:space="preserve">2. Budget in RawData cols I–M represents 2025 targets applied to 2024 rows as proxy — not a true 2025 actuals sheet.
3. HC and billing rate assumptions do not exactly reproduce RawData totals — gap intentional, acknowledged in YoY Bridge.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</si>
</sst>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#,##0;\(#,##0\);\-"/>
    <numFmt numFmtId="167" formatCode="0.0%"/>
    <numFmt numFmtId="168" formatCode="#,##0\ [$€-816];[RED]\-#,##0\ [$€-816]"/>
    <numFmt numFmtId="169" formatCode="0.0"/>
    <numFmt numFmtId="170" formatCode="0.00%"/>
    <numFmt numFmtId="171" formatCode="[$-409]#,##0.00_);\(#,##0.00\)"/>
    <numFmt numFmtId="172" formatCode="[$-409]0.00%"/>
    <numFmt numFmtId="173" formatCode="#,##0;\(#,##0\);\-"/>
    <numFmt numFmtId="174" formatCode="#,##0"/>
  </numFmts>
  <fonts count="6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88888"/>
      <name val="Arial"/>
      <family val="0"/>
      <charset val="1"/>
    </font>
    <font>
      <i val="true"/>
      <sz val="9"/>
      <color rgb="FFCC00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i val="true"/>
      <sz val="9"/>
      <color rgb="FF444444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10"/>
      <color rgb="FF444444"/>
      <name val="Arial"/>
      <family val="0"/>
      <charset val="1"/>
    </font>
    <font>
      <sz val="9"/>
      <color rgb="FF1A1A1A"/>
      <name val="Arial"/>
      <family val="0"/>
      <charset val="1"/>
    </font>
    <font>
      <i val="true"/>
      <sz val="9"/>
      <color rgb="FF333333"/>
      <name val="Arial"/>
      <family val="0"/>
      <charset val="1"/>
    </font>
    <font>
      <sz val="10"/>
      <color rgb="FF1A1A1A"/>
      <name val="Arial"/>
      <family val="0"/>
      <charset val="1"/>
    </font>
    <font>
      <sz val="10"/>
      <color rgb="FF1A7A4A"/>
      <name val="Arial"/>
      <family val="0"/>
      <charset val="1"/>
    </font>
    <font>
      <sz val="9"/>
      <color rgb="FF0000FF"/>
      <name val="Arial"/>
      <family val="0"/>
      <charset val="1"/>
    </font>
    <font>
      <sz val="10"/>
      <color rgb="FF666666"/>
      <name val="Arial"/>
      <family val="0"/>
      <charset val="1"/>
    </font>
    <font>
      <i val="true"/>
      <sz val="10"/>
      <color rgb="FFAAAAA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1A7A4A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13"/>
      <color rgb="FFFFFFFF"/>
      <name val="Arial"/>
      <family val="0"/>
      <charset val="1"/>
    </font>
    <font>
      <sz val="11"/>
      <color rgb="FFFFFFFF"/>
      <name val="Calibri"/>
      <family val="2"/>
      <charset val="1"/>
    </font>
    <font>
      <i val="true"/>
      <sz val="9"/>
      <color theme="1"/>
      <name val="Arial"/>
      <family val="0"/>
      <charset val="1"/>
    </font>
    <font>
      <b val="true"/>
      <sz val="10"/>
      <color rgb="FFFFFFFF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i val="true"/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9"/>
      <color rgb="FF333333"/>
      <name val="Arial"/>
      <family val="0"/>
      <charset val="1"/>
    </font>
    <font>
      <b val="true"/>
      <i val="true"/>
      <sz val="10"/>
      <color rgb="FFFFFFFF"/>
      <name val="Arial"/>
      <family val="0"/>
      <charset val="1"/>
    </font>
    <font>
      <sz val="13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0"/>
      <color rgb="FF000000"/>
      <name val="Arial"/>
      <family val="0"/>
      <charset val="1"/>
    </font>
    <font>
      <sz val="11"/>
      <color rgb="FF00A933"/>
      <name val="Calibri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00A933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0"/>
      <color rgb="FF00A933"/>
      <name val="Arial"/>
      <family val="0"/>
      <charset val="1"/>
    </font>
    <font>
      <b val="true"/>
      <sz val="10"/>
      <color rgb="FF00A933"/>
      <name val="Arial"/>
      <family val="0"/>
      <charset val="1"/>
    </font>
    <font>
      <i val="true"/>
      <sz val="11"/>
      <color rgb="FFAAAAAA"/>
      <name val="Arial"/>
      <family val="0"/>
      <charset val="1"/>
    </font>
    <font>
      <b val="true"/>
      <sz val="13"/>
      <color rgb="FF1F4E79"/>
      <name val="Arial"/>
      <family val="0"/>
      <charset val="1"/>
    </font>
    <font>
      <b val="true"/>
      <sz val="10"/>
      <color rgb="FFCC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9"/>
      <color rgb="FF0000FF"/>
      <name val="Arial"/>
      <family val="0"/>
      <charset val="1"/>
    </font>
    <font>
      <i val="true"/>
      <sz val="8"/>
      <color rgb="FF444444"/>
      <name val="Arial"/>
      <family val="0"/>
      <charset val="1"/>
    </font>
    <font>
      <i val="true"/>
      <sz val="8"/>
      <color rgb="FFCC0000"/>
      <name val="Arial"/>
      <family val="0"/>
      <charset val="1"/>
    </font>
    <font>
      <i val="true"/>
      <sz val="8"/>
      <color rgb="FF555555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FFFFFF"/>
      <name val="Arial"/>
      <family val="0"/>
      <charset val="1"/>
    </font>
    <font>
      <sz val="10"/>
      <color rgb="FFCC0000"/>
      <name val="Arial"/>
      <family val="0"/>
      <charset val="1"/>
    </font>
    <font>
      <i val="true"/>
      <sz val="9"/>
      <color rgb="FF1F4E7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i val="true"/>
      <sz val="10"/>
      <color rgb="FF008000"/>
      <name val="Arial"/>
      <family val="0"/>
      <charset val="1"/>
    </font>
    <font>
      <i val="true"/>
      <sz val="10"/>
      <color rgb="FF1A1A1A"/>
      <name val="Arial"/>
      <family val="0"/>
      <charset val="1"/>
    </font>
    <font>
      <i val="true"/>
      <sz val="10"/>
      <color rgb="FFCC0000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AFD095"/>
        <bgColor rgb="FFCCCCCC"/>
      </patternFill>
    </fill>
    <fill>
      <patternFill patternType="solid">
        <fgColor rgb="FFFFD7D7"/>
        <bgColor rgb="FFFFDCDC"/>
      </patternFill>
    </fill>
    <fill>
      <patternFill patternType="solid">
        <fgColor rgb="FFDDE8CB"/>
        <bgColor rgb="FFE2EFDA"/>
      </patternFill>
    </fill>
    <fill>
      <patternFill patternType="solid">
        <fgColor rgb="FF1F4E79"/>
        <bgColor rgb="FF2A6099"/>
      </patternFill>
    </fill>
    <fill>
      <patternFill patternType="solid">
        <fgColor rgb="FFF2F2F2"/>
        <bgColor rgb="FFE2EFDA"/>
      </patternFill>
    </fill>
    <fill>
      <patternFill patternType="solid">
        <fgColor rgb="FF2E75B6"/>
        <bgColor rgb="FF2A6099"/>
      </patternFill>
    </fill>
    <fill>
      <patternFill patternType="solid">
        <fgColor rgb="FFD6E4F0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8CB"/>
      </patternFill>
    </fill>
    <fill>
      <patternFill patternType="solid">
        <fgColor rgb="FFFFFFFF"/>
        <bgColor rgb="FFF2F2F2"/>
      </patternFill>
    </fill>
    <fill>
      <patternFill patternType="solid">
        <fgColor rgb="FF2A6099"/>
        <bgColor rgb="FF1F4E79"/>
      </patternFill>
    </fill>
    <fill>
      <patternFill patternType="solid">
        <fgColor rgb="FFC8D5E4"/>
        <bgColor rgb="FFCCCCCC"/>
      </patternFill>
    </fill>
    <fill>
      <patternFill patternType="solid">
        <fgColor rgb="FFC45C00"/>
        <bgColor rgb="FFFF420E"/>
      </patternFill>
    </fill>
    <fill>
      <patternFill patternType="solid">
        <fgColor rgb="FF1A7A4A"/>
        <bgColor rgb="FF008080"/>
      </patternFill>
    </fill>
    <fill>
      <patternFill patternType="solid">
        <fgColor rgb="FFFCE4D6"/>
        <bgColor rgb="FFFFDCDC"/>
      </patternFill>
    </fill>
    <fill>
      <patternFill patternType="solid">
        <fgColor rgb="FFFFDCDC"/>
        <bgColor rgb="FFFFD7D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4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</cellStyleXfs>
  <cellXfs count="2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6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2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8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11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2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11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0" fillId="6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9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3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0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5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3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0" fillId="7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1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2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5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0" fillId="1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1" fontId="3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3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5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4" fontId="34" fillId="8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11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6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0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0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11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8" fontId="24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0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1" fillId="8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8" fontId="42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3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33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0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3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8" fontId="43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3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8" fontId="44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6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9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0" fillId="8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6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0" fillId="16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0" fillId="9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1" fillId="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7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5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9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8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3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15" fillId="1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6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9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5" fillId="11" borderId="1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24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56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4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5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1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8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2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6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2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1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8" fillId="1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8" fillId="1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58" fillId="1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8" fillId="1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8" fillId="17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7" fontId="0" fillId="11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8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1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5" fillId="11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" fillId="11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" fillId="11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11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5" fillId="6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" fillId="6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" fillId="6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11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5" fillId="8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6" fillId="8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5" fillId="8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1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1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1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0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1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3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4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nome1" xfId="20"/>
    <cellStyle name="Sem nome2" xfId="21"/>
    <cellStyle name="Sem nome3" xfId="22"/>
    <cellStyle name="Sem nome4" xfId="23"/>
    <cellStyle name="Sem nome5" xfId="24"/>
  </cellStyles>
  <dxfs count="3">
    <dxf>
      <font>
        <name val="Calibri"/>
        <charset val="1"/>
        <family val="2"/>
        <color rgb="FF000000"/>
        <sz val="11"/>
      </font>
      <fill>
        <patternFill>
          <bgColor rgb="FFAFD095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FFD7D7"/>
        </patternFill>
      </fill>
    </dxf>
    <dxf>
      <font>
        <name val="Calibri"/>
        <charset val="1"/>
        <family val="2"/>
        <color rgb="FF000000"/>
        <sz val="11"/>
      </font>
      <fill>
        <patternFill>
          <bgColor rgb="FFDDE8CB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A7A4A"/>
      <rgbColor rgb="FFCCCCCC"/>
      <rgbColor rgb="FF888888"/>
      <rgbColor rgb="FF9999FF"/>
      <rgbColor rgb="FF555555"/>
      <rgbColor rgb="FFFFF2CC"/>
      <rgbColor rgb="FFD6E4F0"/>
      <rgbColor rgb="FF660066"/>
      <rgbColor rgb="FFFF8080"/>
      <rgbColor rgb="FF2A6099"/>
      <rgbColor rgb="FFC8D5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B3B3B3"/>
      <rgbColor rgb="FFFFDCDC"/>
      <rgbColor rgb="FFDDE8CB"/>
      <rgbColor rgb="FFFFD7D7"/>
      <rgbColor rgb="FF2E75B6"/>
      <rgbColor rgb="FF33CCCC"/>
      <rgbColor rgb="FFAFD095"/>
      <rgbColor rgb="FFFFCC00"/>
      <rgbColor rgb="FFFF9900"/>
      <rgbColor rgb="FFFF420E"/>
      <rgbColor rgb="FF666666"/>
      <rgbColor rgb="FFAAAAAA"/>
      <rgbColor rgb="FF004586"/>
      <rgbColor rgb="FF00A933"/>
      <rgbColor rgb="FF444444"/>
      <rgbColor rgb="FF1A1A1A"/>
      <rgbColor rgb="FFC45C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Budget vs Actual Revenue — Monthly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Variance!$B$22</c:f>
              <c:strCache>
                <c:ptCount val="1"/>
                <c:pt idx="0">
                  <c:v>Actual Revenue 2024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Variance!$A$23:$A$34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Variance!$B$23:$B$34</c:f>
              <c:numCache>
                <c:formatCode>#,##0\ [$€-816];[RED]\-#,##0\ [$€-816]</c:formatCode>
                <c:ptCount val="12"/>
                <c:pt idx="0">
                  <c:v>171400</c:v>
                </c:pt>
                <c:pt idx="1">
                  <c:v>182000</c:v>
                </c:pt>
                <c:pt idx="2">
                  <c:v>203200</c:v>
                </c:pt>
                <c:pt idx="3">
                  <c:v>235000</c:v>
                </c:pt>
                <c:pt idx="4">
                  <c:v>245600</c:v>
                </c:pt>
                <c:pt idx="5">
                  <c:v>245600</c:v>
                </c:pt>
                <c:pt idx="6">
                  <c:v>245600</c:v>
                </c:pt>
                <c:pt idx="7">
                  <c:v>235000</c:v>
                </c:pt>
                <c:pt idx="8">
                  <c:v>224400</c:v>
                </c:pt>
                <c:pt idx="9">
                  <c:v>224400</c:v>
                </c:pt>
                <c:pt idx="10">
                  <c:v>213800</c:v>
                </c:pt>
                <c:pt idx="11">
                  <c:v>224000</c:v>
                </c:pt>
              </c:numCache>
            </c:numRef>
          </c:val>
        </c:ser>
        <c:ser>
          <c:idx val="1"/>
          <c:order val="1"/>
          <c:tx>
            <c:strRef>
              <c:f>Variance!$C$22</c:f>
              <c:strCache>
                <c:ptCount val="1"/>
                <c:pt idx="0">
                  <c:v>Budget Revenue 2025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Variance!$A$23:$A$34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Variance!$C$23:$C$34</c:f>
              <c:numCache>
                <c:formatCode>#,##0\ [$€-816];[RED]\-#,##0\ [$€-816]</c:formatCode>
                <c:ptCount val="12"/>
                <c:pt idx="0">
                  <c:v>187500</c:v>
                </c:pt>
                <c:pt idx="1">
                  <c:v>199100</c:v>
                </c:pt>
                <c:pt idx="2">
                  <c:v>222300</c:v>
                </c:pt>
                <c:pt idx="3">
                  <c:v>257100</c:v>
                </c:pt>
                <c:pt idx="4">
                  <c:v>268700</c:v>
                </c:pt>
                <c:pt idx="5">
                  <c:v>268700</c:v>
                </c:pt>
                <c:pt idx="6">
                  <c:v>268700</c:v>
                </c:pt>
                <c:pt idx="7">
                  <c:v>257100</c:v>
                </c:pt>
                <c:pt idx="8">
                  <c:v>245500</c:v>
                </c:pt>
                <c:pt idx="9">
                  <c:v>245500</c:v>
                </c:pt>
                <c:pt idx="10">
                  <c:v>233900</c:v>
                </c:pt>
                <c:pt idx="11">
                  <c:v>245900</c:v>
                </c:pt>
              </c:numCache>
            </c:numRef>
          </c:val>
        </c:ser>
        <c:gapWidth val="100"/>
        <c:overlap val="0"/>
        <c:axId val="13740888"/>
        <c:axId val="52417224"/>
      </c:barChart>
      <c:catAx>
        <c:axId val="137408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2417224"/>
        <c:crosses val="autoZero"/>
        <c:auto val="1"/>
        <c:lblAlgn val="ctr"/>
        <c:lblOffset val="100"/>
        <c:noMultiLvlLbl val="0"/>
      </c:catAx>
      <c:valAx>
        <c:axId val="5241722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Revenue 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3740888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Revenue Variance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Variance!$D$22</c:f>
              <c:strCache>
                <c:ptCount val="1"/>
                <c:pt idx="0">
                  <c:v>Variance €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Variance!$A$23:$A$34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Variance!$D$23:$D$34</c:f>
              <c:numCache>
                <c:formatCode>#,##0\ [$€-816];[RED]\-#,##0\ [$€-816]</c:formatCode>
                <c:ptCount val="12"/>
                <c:pt idx="0">
                  <c:v>16100</c:v>
                </c:pt>
                <c:pt idx="1">
                  <c:v>17100</c:v>
                </c:pt>
                <c:pt idx="2">
                  <c:v>19100</c:v>
                </c:pt>
                <c:pt idx="3">
                  <c:v>22100</c:v>
                </c:pt>
                <c:pt idx="4">
                  <c:v>23100</c:v>
                </c:pt>
                <c:pt idx="5">
                  <c:v>23100</c:v>
                </c:pt>
                <c:pt idx="6">
                  <c:v>23100</c:v>
                </c:pt>
                <c:pt idx="7">
                  <c:v>22100</c:v>
                </c:pt>
                <c:pt idx="8">
                  <c:v>21100</c:v>
                </c:pt>
                <c:pt idx="9">
                  <c:v>21100</c:v>
                </c:pt>
                <c:pt idx="10">
                  <c:v>20100</c:v>
                </c:pt>
                <c:pt idx="11">
                  <c:v>21900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3354593"/>
        <c:axId val="93014793"/>
      </c:lineChart>
      <c:catAx>
        <c:axId val="333545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3014793"/>
        <c:crosses val="autoZero"/>
        <c:auto val="1"/>
        <c:lblAlgn val="ctr"/>
        <c:lblOffset val="100"/>
        <c:noMultiLvlLbl val="0"/>
      </c:catAx>
      <c:valAx>
        <c:axId val="9301479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Variance 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335459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monthly Cost actuals vs budget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Variance!$B$36</c:f>
              <c:strCache>
                <c:ptCount val="1"/>
                <c:pt idx="0">
                  <c:v>Actual Cost 2024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Variance!$A$37:$A$48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Variance!$B$37:$B$48</c:f>
              <c:numCache>
                <c:formatCode>General</c:formatCode>
                <c:ptCount val="12"/>
                <c:pt idx="0">
                  <c:v>122500</c:v>
                </c:pt>
                <c:pt idx="1">
                  <c:v>132700</c:v>
                </c:pt>
                <c:pt idx="2">
                  <c:v>153100</c:v>
                </c:pt>
                <c:pt idx="3">
                  <c:v>183600</c:v>
                </c:pt>
                <c:pt idx="4">
                  <c:v>193800</c:v>
                </c:pt>
                <c:pt idx="5">
                  <c:v>193800</c:v>
                </c:pt>
                <c:pt idx="6">
                  <c:v>193800</c:v>
                </c:pt>
                <c:pt idx="7">
                  <c:v>183600</c:v>
                </c:pt>
                <c:pt idx="8">
                  <c:v>173400</c:v>
                </c:pt>
                <c:pt idx="9">
                  <c:v>173400</c:v>
                </c:pt>
                <c:pt idx="10">
                  <c:v>163300</c:v>
                </c:pt>
                <c:pt idx="11">
                  <c:v>173500</c:v>
                </c:pt>
              </c:numCache>
            </c:numRef>
          </c:val>
        </c:ser>
        <c:ser>
          <c:idx val="1"/>
          <c:order val="1"/>
          <c:tx>
            <c:strRef>
              <c:f>Variance!$C$36</c:f>
              <c:strCache>
                <c:ptCount val="1"/>
                <c:pt idx="0">
                  <c:v>Budget Cost 2025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Variance!$A$37:$A$48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Variance!$C$37:$C$48</c:f>
              <c:numCache>
                <c:formatCode>General</c:formatCode>
                <c:ptCount val="12"/>
                <c:pt idx="0">
                  <c:v>134000</c:v>
                </c:pt>
                <c:pt idx="1">
                  <c:v>145100</c:v>
                </c:pt>
                <c:pt idx="2">
                  <c:v>167500</c:v>
                </c:pt>
                <c:pt idx="3">
                  <c:v>200900</c:v>
                </c:pt>
                <c:pt idx="4">
                  <c:v>212100</c:v>
                </c:pt>
                <c:pt idx="5">
                  <c:v>212100</c:v>
                </c:pt>
                <c:pt idx="6">
                  <c:v>212100</c:v>
                </c:pt>
                <c:pt idx="7">
                  <c:v>200900</c:v>
                </c:pt>
                <c:pt idx="8">
                  <c:v>189800</c:v>
                </c:pt>
                <c:pt idx="9">
                  <c:v>189800</c:v>
                </c:pt>
                <c:pt idx="10">
                  <c:v>178700</c:v>
                </c:pt>
                <c:pt idx="11">
                  <c:v>190000</c:v>
                </c:pt>
              </c:numCache>
            </c:numRef>
          </c:val>
        </c:ser>
        <c:gapWidth val="100"/>
        <c:overlap val="0"/>
        <c:axId val="37391902"/>
        <c:axId val="68845488"/>
      </c:barChart>
      <c:catAx>
        <c:axId val="3739190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8845488"/>
        <c:crosses val="autoZero"/>
        <c:auto val="1"/>
        <c:lblAlgn val="ctr"/>
        <c:lblOffset val="100"/>
        <c:noMultiLvlLbl val="0"/>
      </c:catAx>
      <c:valAx>
        <c:axId val="6884548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cost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7391902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Monthly cost variance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60947151681537"/>
          <c:y val="0.167158408790314"/>
          <c:w val="0.68805765271105"/>
          <c:h val="0.539017194017703"/>
        </c:manualLayout>
      </c:layout>
      <c:lineChart>
        <c:grouping val="standard"/>
        <c:varyColors val="0"/>
        <c:ser>
          <c:idx val="0"/>
          <c:order val="0"/>
          <c:tx>
            <c:strRef>
              <c:f>Variance!$D$36</c:f>
              <c:strCache>
                <c:ptCount val="1"/>
                <c:pt idx="0">
                  <c:v>Variance €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Variance!$A$36:$A$48</c:f>
              <c:strCache>
                <c:ptCount val="13"/>
                <c:pt idx="0">
                  <c:v>Month</c:v>
                </c:pt>
                <c:pt idx="1">
                  <c:v>jan</c:v>
                </c:pt>
                <c:pt idx="2">
                  <c:v>fev</c:v>
                </c:pt>
                <c:pt idx="3">
                  <c:v>mar</c:v>
                </c:pt>
                <c:pt idx="4">
                  <c:v>abr</c:v>
                </c:pt>
                <c:pt idx="5">
                  <c:v>mai</c:v>
                </c:pt>
                <c:pt idx="6">
                  <c:v>jun</c:v>
                </c:pt>
                <c:pt idx="7">
                  <c:v>jul</c:v>
                </c:pt>
                <c:pt idx="8">
                  <c:v>ago</c:v>
                </c:pt>
                <c:pt idx="9">
                  <c:v>set</c:v>
                </c:pt>
                <c:pt idx="10">
                  <c:v>out</c:v>
                </c:pt>
                <c:pt idx="11">
                  <c:v>nov</c:v>
                </c:pt>
                <c:pt idx="12">
                  <c:v>dez</c:v>
                </c:pt>
              </c:strCache>
            </c:strRef>
          </c:cat>
          <c:val>
            <c:numRef>
              <c:f>Variance!$D$36:$D$48</c:f>
              <c:numCache>
                <c:formatCode>General</c:formatCode>
                <c:ptCount val="13"/>
                <c:pt idx="1">
                  <c:v>11500</c:v>
                </c:pt>
                <c:pt idx="2">
                  <c:v>12400</c:v>
                </c:pt>
                <c:pt idx="3">
                  <c:v>14400</c:v>
                </c:pt>
                <c:pt idx="4">
                  <c:v>17300</c:v>
                </c:pt>
                <c:pt idx="5">
                  <c:v>18300</c:v>
                </c:pt>
                <c:pt idx="6">
                  <c:v>18300</c:v>
                </c:pt>
                <c:pt idx="7">
                  <c:v>18300</c:v>
                </c:pt>
                <c:pt idx="8">
                  <c:v>17300</c:v>
                </c:pt>
                <c:pt idx="9">
                  <c:v>16400</c:v>
                </c:pt>
                <c:pt idx="10">
                  <c:v>16400</c:v>
                </c:pt>
                <c:pt idx="11">
                  <c:v>15400</c:v>
                </c:pt>
                <c:pt idx="12">
                  <c:v>16500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0426299"/>
        <c:axId val="45401228"/>
      </c:lineChart>
      <c:catAx>
        <c:axId val="1042629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45401228"/>
        <c:crosses val="autoZero"/>
        <c:auto val="1"/>
        <c:lblAlgn val="ctr"/>
        <c:lblOffset val="100"/>
        <c:noMultiLvlLbl val="0"/>
      </c:catAx>
      <c:valAx>
        <c:axId val="4540122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Cost 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042629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667080</xdr:colOff>
      <xdr:row>21</xdr:row>
      <xdr:rowOff>142560</xdr:rowOff>
    </xdr:from>
    <xdr:to>
      <xdr:col>11</xdr:col>
      <xdr:colOff>371160</xdr:colOff>
      <xdr:row>41</xdr:row>
      <xdr:rowOff>131400</xdr:rowOff>
    </xdr:to>
    <xdr:graphicFrame>
      <xdr:nvGraphicFramePr>
        <xdr:cNvPr id="1" name=""/>
        <xdr:cNvGraphicFramePr/>
      </xdr:nvGraphicFramePr>
      <xdr:xfrm>
        <a:off x="3703680" y="6012000"/>
        <a:ext cx="6206400" cy="3493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574200</xdr:colOff>
      <xdr:row>20</xdr:row>
      <xdr:rowOff>41040</xdr:rowOff>
    </xdr:from>
    <xdr:to>
      <xdr:col>16</xdr:col>
      <xdr:colOff>2453400</xdr:colOff>
      <xdr:row>38</xdr:row>
      <xdr:rowOff>120240</xdr:rowOff>
    </xdr:to>
    <xdr:graphicFrame>
      <xdr:nvGraphicFramePr>
        <xdr:cNvPr id="2" name=""/>
        <xdr:cNvGraphicFramePr/>
      </xdr:nvGraphicFramePr>
      <xdr:xfrm>
        <a:off x="10926000" y="5735160"/>
        <a:ext cx="5753880" cy="3233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350640</xdr:colOff>
      <xdr:row>42</xdr:row>
      <xdr:rowOff>140400</xdr:rowOff>
    </xdr:from>
    <xdr:to>
      <xdr:col>11</xdr:col>
      <xdr:colOff>416520</xdr:colOff>
      <xdr:row>61</xdr:row>
      <xdr:rowOff>45720</xdr:rowOff>
    </xdr:to>
    <xdr:graphicFrame>
      <xdr:nvGraphicFramePr>
        <xdr:cNvPr id="3" name=""/>
        <xdr:cNvGraphicFramePr/>
      </xdr:nvGraphicFramePr>
      <xdr:xfrm>
        <a:off x="4200120" y="9690120"/>
        <a:ext cx="5755320" cy="3235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190800</xdr:colOff>
      <xdr:row>42</xdr:row>
      <xdr:rowOff>7200</xdr:rowOff>
    </xdr:from>
    <xdr:to>
      <xdr:col>16</xdr:col>
      <xdr:colOff>2610000</xdr:colOff>
      <xdr:row>62</xdr:row>
      <xdr:rowOff>39960</xdr:rowOff>
    </xdr:to>
    <xdr:graphicFrame>
      <xdr:nvGraphicFramePr>
        <xdr:cNvPr id="4" name=""/>
        <xdr:cNvGraphicFramePr/>
      </xdr:nvGraphicFramePr>
      <xdr:xfrm rot="21579000">
        <a:off x="10542240" y="9556920"/>
        <a:ext cx="6293880" cy="3538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0" ySplit="1" topLeftCell="A28" activePane="bottomLeft" state="frozen"/>
      <selection pane="topLeft" activeCell="A1" activeCellId="0" sqref="A1"/>
      <selection pane="bottomLeft" activeCell="D40" activeCellId="0" sqref="D40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2" width="8"/>
    <col collapsed="false" customWidth="true" hidden="false" outlineLevel="0" max="3" min="3" style="2" width="10"/>
    <col collapsed="false" customWidth="true" hidden="false" outlineLevel="0" max="4" min="4" style="2" width="20"/>
    <col collapsed="false" customWidth="true" hidden="false" outlineLevel="0" max="5" min="5" style="2" width="22"/>
    <col collapsed="false" customWidth="true" hidden="false" outlineLevel="0" max="7" min="6" style="2" width="18"/>
    <col collapsed="false" customWidth="true" hidden="false" outlineLevel="0" max="8" min="8" style="2" width="14"/>
    <col collapsed="false" customWidth="true" hidden="false" outlineLevel="0" max="9" min="9" style="2" width="22"/>
    <col collapsed="false" customWidth="true" hidden="false" outlineLevel="0" max="10" min="10" style="2" width="14"/>
    <col collapsed="false" customWidth="true" hidden="false" outlineLevel="0" max="11" min="11" style="2" width="22"/>
    <col collapsed="false" customWidth="true" hidden="false" outlineLevel="0" max="13" min="12" style="2" width="18"/>
  </cols>
  <sheetData>
    <row r="1" customFormat="false" ht="30" hidden="false" customHeight="tru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 customFormat="false" ht="15" hidden="false" customHeight="false" outlineLevel="0" collapsed="false">
      <c r="A2" s="5" t="n">
        <v>2022</v>
      </c>
      <c r="B2" s="5" t="s">
        <v>13</v>
      </c>
      <c r="C2" s="5" t="n">
        <v>1</v>
      </c>
      <c r="D2" s="6" t="n">
        <v>100800</v>
      </c>
      <c r="E2" s="6" t="n">
        <v>35000</v>
      </c>
      <c r="F2" s="6" t="n">
        <v>81900</v>
      </c>
      <c r="G2" s="6" t="n">
        <v>10100</v>
      </c>
      <c r="H2" s="6" t="n">
        <v>5000</v>
      </c>
      <c r="I2" s="6" t="n">
        <v>139200</v>
      </c>
      <c r="J2" s="6" t="n">
        <v>48300</v>
      </c>
      <c r="K2" s="6" t="n">
        <v>113100</v>
      </c>
      <c r="L2" s="6" t="n">
        <v>13900</v>
      </c>
      <c r="M2" s="6" t="n">
        <v>7000</v>
      </c>
    </row>
    <row r="3" customFormat="false" ht="15" hidden="false" customHeight="false" outlineLevel="0" collapsed="false">
      <c r="A3" s="2" t="n">
        <v>2022</v>
      </c>
      <c r="B3" s="2" t="s">
        <v>14</v>
      </c>
      <c r="C3" s="2" t="n">
        <v>2</v>
      </c>
      <c r="D3" s="7" t="n">
        <v>109200</v>
      </c>
      <c r="E3" s="7" t="n">
        <v>35000</v>
      </c>
      <c r="F3" s="7" t="n">
        <v>88700</v>
      </c>
      <c r="G3" s="7" t="n">
        <v>10900</v>
      </c>
      <c r="H3" s="7" t="n">
        <v>5500</v>
      </c>
      <c r="I3" s="7" t="n">
        <v>150800</v>
      </c>
      <c r="J3" s="7" t="n">
        <v>48300</v>
      </c>
      <c r="K3" s="7" t="n">
        <v>122500</v>
      </c>
      <c r="L3" s="7" t="n">
        <v>15100</v>
      </c>
      <c r="M3" s="7" t="n">
        <v>7500</v>
      </c>
    </row>
    <row r="4" customFormat="false" ht="15" hidden="false" customHeight="false" outlineLevel="0" collapsed="false">
      <c r="A4" s="5" t="n">
        <v>2022</v>
      </c>
      <c r="B4" s="5" t="s">
        <v>15</v>
      </c>
      <c r="C4" s="5" t="n">
        <v>3</v>
      </c>
      <c r="D4" s="6" t="n">
        <v>126000</v>
      </c>
      <c r="E4" s="6" t="n">
        <v>35000</v>
      </c>
      <c r="F4" s="6" t="n">
        <v>102400</v>
      </c>
      <c r="G4" s="6" t="n">
        <v>12600</v>
      </c>
      <c r="H4" s="6" t="n">
        <v>6300</v>
      </c>
      <c r="I4" s="6" t="n">
        <v>174000</v>
      </c>
      <c r="J4" s="6" t="n">
        <v>48300</v>
      </c>
      <c r="K4" s="6" t="n">
        <v>141400</v>
      </c>
      <c r="L4" s="6" t="n">
        <v>17400</v>
      </c>
      <c r="M4" s="6" t="n">
        <v>8700</v>
      </c>
    </row>
    <row r="5" customFormat="false" ht="15" hidden="false" customHeight="false" outlineLevel="0" collapsed="false">
      <c r="A5" s="2" t="n">
        <v>2022</v>
      </c>
      <c r="B5" s="2" t="s">
        <v>16</v>
      </c>
      <c r="C5" s="2" t="n">
        <v>4</v>
      </c>
      <c r="D5" s="7" t="n">
        <v>151200</v>
      </c>
      <c r="E5" s="7" t="n">
        <v>35000</v>
      </c>
      <c r="F5" s="7" t="n">
        <v>122800</v>
      </c>
      <c r="G5" s="7" t="n">
        <v>15100</v>
      </c>
      <c r="H5" s="7" t="n">
        <v>7600</v>
      </c>
      <c r="I5" s="7" t="n">
        <v>208800</v>
      </c>
      <c r="J5" s="7" t="n">
        <v>48300</v>
      </c>
      <c r="K5" s="7" t="n">
        <v>169600</v>
      </c>
      <c r="L5" s="7" t="n">
        <v>20900</v>
      </c>
      <c r="M5" s="7" t="n">
        <v>10400</v>
      </c>
    </row>
    <row r="6" customFormat="false" ht="15" hidden="false" customHeight="false" outlineLevel="0" collapsed="false">
      <c r="A6" s="5" t="n">
        <v>2022</v>
      </c>
      <c r="B6" s="5" t="s">
        <v>17</v>
      </c>
      <c r="C6" s="5" t="n">
        <v>5</v>
      </c>
      <c r="D6" s="6" t="n">
        <v>159600</v>
      </c>
      <c r="E6" s="6" t="n">
        <v>35000</v>
      </c>
      <c r="F6" s="6" t="n">
        <v>129700</v>
      </c>
      <c r="G6" s="6" t="n">
        <v>16000</v>
      </c>
      <c r="H6" s="6" t="n">
        <v>8000</v>
      </c>
      <c r="I6" s="6" t="n">
        <v>220400</v>
      </c>
      <c r="J6" s="6" t="n">
        <v>48300</v>
      </c>
      <c r="K6" s="6" t="n">
        <v>179100</v>
      </c>
      <c r="L6" s="6" t="n">
        <v>22000</v>
      </c>
      <c r="M6" s="6" t="n">
        <v>11000</v>
      </c>
    </row>
    <row r="7" customFormat="false" ht="15" hidden="false" customHeight="false" outlineLevel="0" collapsed="false">
      <c r="A7" s="2" t="n">
        <v>2022</v>
      </c>
      <c r="B7" s="2" t="s">
        <v>18</v>
      </c>
      <c r="C7" s="2" t="n">
        <v>6</v>
      </c>
      <c r="D7" s="7" t="n">
        <v>159600</v>
      </c>
      <c r="E7" s="7" t="n">
        <v>35000</v>
      </c>
      <c r="F7" s="7" t="n">
        <v>129700</v>
      </c>
      <c r="G7" s="7" t="n">
        <v>16000</v>
      </c>
      <c r="H7" s="7" t="n">
        <v>8000</v>
      </c>
      <c r="I7" s="7" t="n">
        <v>220400</v>
      </c>
      <c r="J7" s="7" t="n">
        <v>48300</v>
      </c>
      <c r="K7" s="7" t="n">
        <v>179100</v>
      </c>
      <c r="L7" s="7" t="n">
        <v>22000</v>
      </c>
      <c r="M7" s="7" t="n">
        <v>11000</v>
      </c>
    </row>
    <row r="8" customFormat="false" ht="15" hidden="false" customHeight="false" outlineLevel="0" collapsed="false">
      <c r="A8" s="5" t="n">
        <v>2022</v>
      </c>
      <c r="B8" s="5" t="s">
        <v>19</v>
      </c>
      <c r="C8" s="5" t="n">
        <v>7</v>
      </c>
      <c r="D8" s="6" t="n">
        <v>159600</v>
      </c>
      <c r="E8" s="6" t="n">
        <v>35000</v>
      </c>
      <c r="F8" s="6" t="n">
        <v>129700</v>
      </c>
      <c r="G8" s="6" t="n">
        <v>16000</v>
      </c>
      <c r="H8" s="6" t="n">
        <v>8000</v>
      </c>
      <c r="I8" s="6" t="n">
        <v>220400</v>
      </c>
      <c r="J8" s="6" t="n">
        <v>48300</v>
      </c>
      <c r="K8" s="6" t="n">
        <v>179100</v>
      </c>
      <c r="L8" s="6" t="n">
        <v>22000</v>
      </c>
      <c r="M8" s="6" t="n">
        <v>11000</v>
      </c>
    </row>
    <row r="9" customFormat="false" ht="15" hidden="false" customHeight="false" outlineLevel="0" collapsed="false">
      <c r="A9" s="2" t="n">
        <v>2022</v>
      </c>
      <c r="B9" s="2" t="s">
        <v>20</v>
      </c>
      <c r="C9" s="2" t="n">
        <v>8</v>
      </c>
      <c r="D9" s="7" t="n">
        <v>151200</v>
      </c>
      <c r="E9" s="7" t="n">
        <v>35000</v>
      </c>
      <c r="F9" s="7" t="n">
        <v>122800</v>
      </c>
      <c r="G9" s="7" t="n">
        <v>15100</v>
      </c>
      <c r="H9" s="7" t="n">
        <v>7600</v>
      </c>
      <c r="I9" s="7" t="n">
        <v>208800</v>
      </c>
      <c r="J9" s="7" t="n">
        <v>48300</v>
      </c>
      <c r="K9" s="7" t="n">
        <v>169600</v>
      </c>
      <c r="L9" s="7" t="n">
        <v>20900</v>
      </c>
      <c r="M9" s="7" t="n">
        <v>10400</v>
      </c>
    </row>
    <row r="10" customFormat="false" ht="15" hidden="false" customHeight="false" outlineLevel="0" collapsed="false">
      <c r="A10" s="5" t="n">
        <v>2022</v>
      </c>
      <c r="B10" s="5" t="s">
        <v>21</v>
      </c>
      <c r="C10" s="5" t="n">
        <v>9</v>
      </c>
      <c r="D10" s="6" t="n">
        <v>142800</v>
      </c>
      <c r="E10" s="6" t="n">
        <v>35000</v>
      </c>
      <c r="F10" s="6" t="n">
        <v>116000</v>
      </c>
      <c r="G10" s="6" t="n">
        <v>14300</v>
      </c>
      <c r="H10" s="6" t="n">
        <v>7100</v>
      </c>
      <c r="I10" s="6" t="n">
        <v>197200</v>
      </c>
      <c r="J10" s="6" t="n">
        <v>48300</v>
      </c>
      <c r="K10" s="6" t="n">
        <v>160200</v>
      </c>
      <c r="L10" s="6" t="n">
        <v>19700</v>
      </c>
      <c r="M10" s="6" t="n">
        <v>9900</v>
      </c>
    </row>
    <row r="11" customFormat="false" ht="15" hidden="false" customHeight="false" outlineLevel="0" collapsed="false">
      <c r="A11" s="2" t="n">
        <v>2022</v>
      </c>
      <c r="B11" s="2" t="s">
        <v>22</v>
      </c>
      <c r="C11" s="2" t="n">
        <v>10</v>
      </c>
      <c r="D11" s="7" t="n">
        <v>142800</v>
      </c>
      <c r="E11" s="7" t="n">
        <v>35000</v>
      </c>
      <c r="F11" s="7" t="n">
        <v>116000</v>
      </c>
      <c r="G11" s="7" t="n">
        <v>14300</v>
      </c>
      <c r="H11" s="7" t="n">
        <v>7100</v>
      </c>
      <c r="I11" s="7" t="n">
        <v>197200</v>
      </c>
      <c r="J11" s="7" t="n">
        <v>48300</v>
      </c>
      <c r="K11" s="7" t="n">
        <v>160200</v>
      </c>
      <c r="L11" s="7" t="n">
        <v>19700</v>
      </c>
      <c r="M11" s="7" t="n">
        <v>9900</v>
      </c>
    </row>
    <row r="12" customFormat="false" ht="15" hidden="false" customHeight="false" outlineLevel="0" collapsed="false">
      <c r="A12" s="5" t="n">
        <v>2022</v>
      </c>
      <c r="B12" s="5" t="s">
        <v>23</v>
      </c>
      <c r="C12" s="5" t="n">
        <v>11</v>
      </c>
      <c r="D12" s="6" t="n">
        <v>134400</v>
      </c>
      <c r="E12" s="6" t="n">
        <v>35000</v>
      </c>
      <c r="F12" s="6" t="n">
        <v>109200</v>
      </c>
      <c r="G12" s="6" t="n">
        <v>13400</v>
      </c>
      <c r="H12" s="6" t="n">
        <v>6700</v>
      </c>
      <c r="I12" s="6" t="n">
        <v>185600</v>
      </c>
      <c r="J12" s="6" t="n">
        <v>48300</v>
      </c>
      <c r="K12" s="6" t="n">
        <v>150800</v>
      </c>
      <c r="L12" s="6" t="n">
        <v>18600</v>
      </c>
      <c r="M12" s="6" t="n">
        <v>9300</v>
      </c>
    </row>
    <row r="13" customFormat="false" ht="15" hidden="false" customHeight="false" outlineLevel="0" collapsed="false">
      <c r="A13" s="2" t="n">
        <v>2022</v>
      </c>
      <c r="B13" s="2" t="s">
        <v>24</v>
      </c>
      <c r="C13" s="2" t="n">
        <v>12</v>
      </c>
      <c r="D13" s="7" t="n">
        <v>142800</v>
      </c>
      <c r="E13" s="7" t="n">
        <v>35000</v>
      </c>
      <c r="F13" s="7" t="n">
        <v>116100</v>
      </c>
      <c r="G13" s="7" t="n">
        <v>14200</v>
      </c>
      <c r="H13" s="7" t="n">
        <v>7100</v>
      </c>
      <c r="I13" s="7" t="n">
        <v>197200</v>
      </c>
      <c r="J13" s="7" t="n">
        <v>48700</v>
      </c>
      <c r="K13" s="7" t="n">
        <v>160300</v>
      </c>
      <c r="L13" s="7" t="n">
        <v>19800</v>
      </c>
      <c r="M13" s="7" t="n">
        <v>9900</v>
      </c>
    </row>
    <row r="14" customFormat="false" ht="15" hidden="false" customHeight="false" outlineLevel="0" collapsed="false">
      <c r="A14" s="5" t="n">
        <v>2023</v>
      </c>
      <c r="B14" s="5" t="s">
        <v>13</v>
      </c>
      <c r="C14" s="5" t="n">
        <v>1</v>
      </c>
      <c r="D14" s="6" t="n">
        <v>115200</v>
      </c>
      <c r="E14" s="6" t="n">
        <v>40000</v>
      </c>
      <c r="F14" s="6" t="n">
        <v>93600</v>
      </c>
      <c r="G14" s="6" t="n">
        <v>11500</v>
      </c>
      <c r="H14" s="6" t="n">
        <v>5800</v>
      </c>
      <c r="I14" s="6" t="n">
        <v>139200</v>
      </c>
      <c r="J14" s="6" t="n">
        <v>48300</v>
      </c>
      <c r="K14" s="6" t="n">
        <v>113100</v>
      </c>
      <c r="L14" s="6" t="n">
        <v>13900</v>
      </c>
      <c r="M14" s="6" t="n">
        <v>7000</v>
      </c>
    </row>
    <row r="15" customFormat="false" ht="15" hidden="false" customHeight="false" outlineLevel="0" collapsed="false">
      <c r="A15" s="2" t="n">
        <v>2023</v>
      </c>
      <c r="B15" s="2" t="s">
        <v>14</v>
      </c>
      <c r="C15" s="2" t="n">
        <v>2</v>
      </c>
      <c r="D15" s="7" t="n">
        <v>124800</v>
      </c>
      <c r="E15" s="7" t="n">
        <v>40000</v>
      </c>
      <c r="F15" s="7" t="n">
        <v>101400</v>
      </c>
      <c r="G15" s="7" t="n">
        <v>12500</v>
      </c>
      <c r="H15" s="7" t="n">
        <v>6200</v>
      </c>
      <c r="I15" s="7" t="n">
        <v>150800</v>
      </c>
      <c r="J15" s="7" t="n">
        <v>48300</v>
      </c>
      <c r="K15" s="7" t="n">
        <v>122500</v>
      </c>
      <c r="L15" s="7" t="n">
        <v>15100</v>
      </c>
      <c r="M15" s="7" t="n">
        <v>7500</v>
      </c>
    </row>
    <row r="16" customFormat="false" ht="15" hidden="false" customHeight="false" outlineLevel="0" collapsed="false">
      <c r="A16" s="5" t="n">
        <v>2023</v>
      </c>
      <c r="B16" s="5" t="s">
        <v>15</v>
      </c>
      <c r="C16" s="5" t="n">
        <v>3</v>
      </c>
      <c r="D16" s="6" t="n">
        <v>144000</v>
      </c>
      <c r="E16" s="6" t="n">
        <v>40000</v>
      </c>
      <c r="F16" s="6" t="n">
        <v>117000</v>
      </c>
      <c r="G16" s="6" t="n">
        <v>14400</v>
      </c>
      <c r="H16" s="6" t="n">
        <v>7200</v>
      </c>
      <c r="I16" s="6" t="n">
        <v>174000</v>
      </c>
      <c r="J16" s="6" t="n">
        <v>48300</v>
      </c>
      <c r="K16" s="6" t="n">
        <v>141400</v>
      </c>
      <c r="L16" s="6" t="n">
        <v>17400</v>
      </c>
      <c r="M16" s="6" t="n">
        <v>8700</v>
      </c>
    </row>
    <row r="17" customFormat="false" ht="15" hidden="false" customHeight="false" outlineLevel="0" collapsed="false">
      <c r="A17" s="2" t="n">
        <v>2023</v>
      </c>
      <c r="B17" s="2" t="s">
        <v>16</v>
      </c>
      <c r="C17" s="2" t="n">
        <v>4</v>
      </c>
      <c r="D17" s="7" t="n">
        <v>172800</v>
      </c>
      <c r="E17" s="7" t="n">
        <v>40000</v>
      </c>
      <c r="F17" s="7" t="n">
        <v>140400</v>
      </c>
      <c r="G17" s="7" t="n">
        <v>17300</v>
      </c>
      <c r="H17" s="7" t="n">
        <v>8600</v>
      </c>
      <c r="I17" s="7" t="n">
        <v>208800</v>
      </c>
      <c r="J17" s="7" t="n">
        <v>48300</v>
      </c>
      <c r="K17" s="7" t="n">
        <v>169600</v>
      </c>
      <c r="L17" s="7" t="n">
        <v>20900</v>
      </c>
      <c r="M17" s="7" t="n">
        <v>10400</v>
      </c>
    </row>
    <row r="18" customFormat="false" ht="15" hidden="false" customHeight="false" outlineLevel="0" collapsed="false">
      <c r="A18" s="5" t="n">
        <v>2023</v>
      </c>
      <c r="B18" s="5" t="s">
        <v>17</v>
      </c>
      <c r="C18" s="5" t="n">
        <v>5</v>
      </c>
      <c r="D18" s="6" t="n">
        <v>182400</v>
      </c>
      <c r="E18" s="6" t="n">
        <v>40000</v>
      </c>
      <c r="F18" s="6" t="n">
        <v>148200</v>
      </c>
      <c r="G18" s="6" t="n">
        <v>18200</v>
      </c>
      <c r="H18" s="6" t="n">
        <v>9100</v>
      </c>
      <c r="I18" s="6" t="n">
        <v>220400</v>
      </c>
      <c r="J18" s="6" t="n">
        <v>48300</v>
      </c>
      <c r="K18" s="6" t="n">
        <v>179100</v>
      </c>
      <c r="L18" s="6" t="n">
        <v>22000</v>
      </c>
      <c r="M18" s="6" t="n">
        <v>11000</v>
      </c>
    </row>
    <row r="19" customFormat="false" ht="15" hidden="false" customHeight="false" outlineLevel="0" collapsed="false">
      <c r="A19" s="2" t="n">
        <v>2023</v>
      </c>
      <c r="B19" s="2" t="s">
        <v>18</v>
      </c>
      <c r="C19" s="2" t="n">
        <v>6</v>
      </c>
      <c r="D19" s="7" t="n">
        <v>182400</v>
      </c>
      <c r="E19" s="7" t="n">
        <v>40000</v>
      </c>
      <c r="F19" s="7" t="n">
        <v>148200</v>
      </c>
      <c r="G19" s="7" t="n">
        <v>18200</v>
      </c>
      <c r="H19" s="7" t="n">
        <v>9100</v>
      </c>
      <c r="I19" s="7" t="n">
        <v>220400</v>
      </c>
      <c r="J19" s="7" t="n">
        <v>48300</v>
      </c>
      <c r="K19" s="7" t="n">
        <v>179100</v>
      </c>
      <c r="L19" s="7" t="n">
        <v>22000</v>
      </c>
      <c r="M19" s="7" t="n">
        <v>11000</v>
      </c>
    </row>
    <row r="20" customFormat="false" ht="15" hidden="false" customHeight="false" outlineLevel="0" collapsed="false">
      <c r="A20" s="5" t="n">
        <v>2023</v>
      </c>
      <c r="B20" s="5" t="s">
        <v>19</v>
      </c>
      <c r="C20" s="5" t="n">
        <v>7</v>
      </c>
      <c r="D20" s="6" t="n">
        <v>182400</v>
      </c>
      <c r="E20" s="6" t="n">
        <v>40000</v>
      </c>
      <c r="F20" s="6" t="n">
        <v>148200</v>
      </c>
      <c r="G20" s="6" t="n">
        <v>18200</v>
      </c>
      <c r="H20" s="6" t="n">
        <v>9100</v>
      </c>
      <c r="I20" s="6" t="n">
        <v>220400</v>
      </c>
      <c r="J20" s="6" t="n">
        <v>48300</v>
      </c>
      <c r="K20" s="6" t="n">
        <v>179100</v>
      </c>
      <c r="L20" s="6" t="n">
        <v>22000</v>
      </c>
      <c r="M20" s="6" t="n">
        <v>11000</v>
      </c>
    </row>
    <row r="21" customFormat="false" ht="15" hidden="false" customHeight="false" outlineLevel="0" collapsed="false">
      <c r="A21" s="2" t="n">
        <v>2023</v>
      </c>
      <c r="B21" s="2" t="s">
        <v>20</v>
      </c>
      <c r="C21" s="2" t="n">
        <v>8</v>
      </c>
      <c r="D21" s="7" t="n">
        <v>172800</v>
      </c>
      <c r="E21" s="7" t="n">
        <v>40000</v>
      </c>
      <c r="F21" s="7" t="n">
        <v>140400</v>
      </c>
      <c r="G21" s="7" t="n">
        <v>17300</v>
      </c>
      <c r="H21" s="7" t="n">
        <v>8600</v>
      </c>
      <c r="I21" s="7" t="n">
        <v>208800</v>
      </c>
      <c r="J21" s="7" t="n">
        <v>48300</v>
      </c>
      <c r="K21" s="7" t="n">
        <v>169600</v>
      </c>
      <c r="L21" s="7" t="n">
        <v>20900</v>
      </c>
      <c r="M21" s="7" t="n">
        <v>10400</v>
      </c>
    </row>
    <row r="22" customFormat="false" ht="15" hidden="false" customHeight="false" outlineLevel="0" collapsed="false">
      <c r="A22" s="5" t="n">
        <v>2023</v>
      </c>
      <c r="B22" s="5" t="s">
        <v>21</v>
      </c>
      <c r="C22" s="5" t="n">
        <v>9</v>
      </c>
      <c r="D22" s="6" t="n">
        <v>163200</v>
      </c>
      <c r="E22" s="6" t="n">
        <v>40000</v>
      </c>
      <c r="F22" s="6" t="n">
        <v>132600</v>
      </c>
      <c r="G22" s="6" t="n">
        <v>16300</v>
      </c>
      <c r="H22" s="6" t="n">
        <v>8200</v>
      </c>
      <c r="I22" s="6" t="n">
        <v>197200</v>
      </c>
      <c r="J22" s="6" t="n">
        <v>48300</v>
      </c>
      <c r="K22" s="6" t="n">
        <v>160200</v>
      </c>
      <c r="L22" s="6" t="n">
        <v>19700</v>
      </c>
      <c r="M22" s="6" t="n">
        <v>9900</v>
      </c>
    </row>
    <row r="23" customFormat="false" ht="15" hidden="false" customHeight="false" outlineLevel="0" collapsed="false">
      <c r="A23" s="2" t="n">
        <v>2023</v>
      </c>
      <c r="B23" s="2" t="s">
        <v>22</v>
      </c>
      <c r="C23" s="2" t="n">
        <v>10</v>
      </c>
      <c r="D23" s="7" t="n">
        <v>163200</v>
      </c>
      <c r="E23" s="7" t="n">
        <v>40000</v>
      </c>
      <c r="F23" s="7" t="n">
        <v>132600</v>
      </c>
      <c r="G23" s="7" t="n">
        <v>16300</v>
      </c>
      <c r="H23" s="7" t="n">
        <v>8200</v>
      </c>
      <c r="I23" s="7" t="n">
        <v>197200</v>
      </c>
      <c r="J23" s="7" t="n">
        <v>48300</v>
      </c>
      <c r="K23" s="7" t="n">
        <v>160200</v>
      </c>
      <c r="L23" s="7" t="n">
        <v>19700</v>
      </c>
      <c r="M23" s="7" t="n">
        <v>9900</v>
      </c>
    </row>
    <row r="24" customFormat="false" ht="15" hidden="false" customHeight="false" outlineLevel="0" collapsed="false">
      <c r="A24" s="5" t="n">
        <v>2023</v>
      </c>
      <c r="B24" s="5" t="s">
        <v>23</v>
      </c>
      <c r="C24" s="5" t="n">
        <v>11</v>
      </c>
      <c r="D24" s="6" t="n">
        <v>153600</v>
      </c>
      <c r="E24" s="6" t="n">
        <v>40000</v>
      </c>
      <c r="F24" s="6" t="n">
        <v>124800</v>
      </c>
      <c r="G24" s="6" t="n">
        <v>15400</v>
      </c>
      <c r="H24" s="6" t="n">
        <v>7700</v>
      </c>
      <c r="I24" s="6" t="n">
        <v>185600</v>
      </c>
      <c r="J24" s="6" t="n">
        <v>48300</v>
      </c>
      <c r="K24" s="6" t="n">
        <v>150800</v>
      </c>
      <c r="L24" s="6" t="n">
        <v>18600</v>
      </c>
      <c r="M24" s="6" t="n">
        <v>9300</v>
      </c>
    </row>
    <row r="25" customFormat="false" ht="15" hidden="false" customHeight="false" outlineLevel="0" collapsed="false">
      <c r="A25" s="2" t="n">
        <v>2023</v>
      </c>
      <c r="B25" s="2" t="s">
        <v>24</v>
      </c>
      <c r="C25" s="2" t="n">
        <v>12</v>
      </c>
      <c r="D25" s="7" t="n">
        <v>163200</v>
      </c>
      <c r="E25" s="7" t="n">
        <v>40000</v>
      </c>
      <c r="F25" s="7" t="n">
        <v>132600</v>
      </c>
      <c r="G25" s="7" t="n">
        <v>16400</v>
      </c>
      <c r="H25" s="7" t="n">
        <v>8200</v>
      </c>
      <c r="I25" s="7" t="n">
        <v>197200</v>
      </c>
      <c r="J25" s="7" t="n">
        <v>48700</v>
      </c>
      <c r="K25" s="7" t="n">
        <v>160300</v>
      </c>
      <c r="L25" s="7" t="n">
        <v>19800</v>
      </c>
      <c r="M25" s="7" t="n">
        <v>9900</v>
      </c>
    </row>
    <row r="26" customFormat="false" ht="15" hidden="false" customHeight="false" outlineLevel="0" collapsed="false">
      <c r="A26" s="5" t="n">
        <v>2024</v>
      </c>
      <c r="B26" s="5" t="s">
        <v>13</v>
      </c>
      <c r="C26" s="5" t="n">
        <v>1</v>
      </c>
      <c r="D26" s="6" t="n">
        <v>127200</v>
      </c>
      <c r="E26" s="6" t="n">
        <v>44200</v>
      </c>
      <c r="F26" s="6" t="n">
        <v>103400</v>
      </c>
      <c r="G26" s="6" t="n">
        <v>12700</v>
      </c>
      <c r="H26" s="6" t="n">
        <v>6400</v>
      </c>
      <c r="I26" s="6" t="n">
        <v>139200</v>
      </c>
      <c r="J26" s="6" t="n">
        <v>48300</v>
      </c>
      <c r="K26" s="6" t="n">
        <v>113100</v>
      </c>
      <c r="L26" s="6" t="n">
        <v>13900</v>
      </c>
      <c r="M26" s="6" t="n">
        <v>7000</v>
      </c>
    </row>
    <row r="27" customFormat="false" ht="15" hidden="false" customHeight="false" outlineLevel="0" collapsed="false">
      <c r="A27" s="2" t="n">
        <v>2024</v>
      </c>
      <c r="B27" s="2" t="s">
        <v>14</v>
      </c>
      <c r="C27" s="2" t="n">
        <v>2</v>
      </c>
      <c r="D27" s="7" t="n">
        <v>137800</v>
      </c>
      <c r="E27" s="7" t="n">
        <v>44200</v>
      </c>
      <c r="F27" s="7" t="n">
        <v>112000</v>
      </c>
      <c r="G27" s="7" t="n">
        <v>13800</v>
      </c>
      <c r="H27" s="7" t="n">
        <v>6900</v>
      </c>
      <c r="I27" s="7" t="n">
        <v>150800</v>
      </c>
      <c r="J27" s="7" t="n">
        <v>48300</v>
      </c>
      <c r="K27" s="7" t="n">
        <v>122500</v>
      </c>
      <c r="L27" s="7" t="n">
        <v>15100</v>
      </c>
      <c r="M27" s="7" t="n">
        <v>7500</v>
      </c>
    </row>
    <row r="28" customFormat="false" ht="15" hidden="false" customHeight="false" outlineLevel="0" collapsed="false">
      <c r="A28" s="5" t="n">
        <v>2024</v>
      </c>
      <c r="B28" s="5" t="s">
        <v>15</v>
      </c>
      <c r="C28" s="5" t="n">
        <v>3</v>
      </c>
      <c r="D28" s="6" t="n">
        <v>159000</v>
      </c>
      <c r="E28" s="6" t="n">
        <v>44200</v>
      </c>
      <c r="F28" s="6" t="n">
        <v>129200</v>
      </c>
      <c r="G28" s="6" t="n">
        <v>15900</v>
      </c>
      <c r="H28" s="6" t="n">
        <v>8000</v>
      </c>
      <c r="I28" s="6" t="n">
        <v>174000</v>
      </c>
      <c r="J28" s="6" t="n">
        <v>48300</v>
      </c>
      <c r="K28" s="6" t="n">
        <v>141400</v>
      </c>
      <c r="L28" s="6" t="n">
        <v>17400</v>
      </c>
      <c r="M28" s="6" t="n">
        <v>8700</v>
      </c>
    </row>
    <row r="29" customFormat="false" ht="15" hidden="false" customHeight="false" outlineLevel="0" collapsed="false">
      <c r="A29" s="2" t="n">
        <v>2024</v>
      </c>
      <c r="B29" s="2" t="s">
        <v>16</v>
      </c>
      <c r="C29" s="2" t="n">
        <v>4</v>
      </c>
      <c r="D29" s="7" t="n">
        <v>190800</v>
      </c>
      <c r="E29" s="7" t="n">
        <v>44200</v>
      </c>
      <c r="F29" s="7" t="n">
        <v>155000</v>
      </c>
      <c r="G29" s="7" t="n">
        <v>19100</v>
      </c>
      <c r="H29" s="7" t="n">
        <v>9500</v>
      </c>
      <c r="I29" s="7" t="n">
        <v>208800</v>
      </c>
      <c r="J29" s="7" t="n">
        <v>48300</v>
      </c>
      <c r="K29" s="7" t="n">
        <v>169600</v>
      </c>
      <c r="L29" s="7" t="n">
        <v>20900</v>
      </c>
      <c r="M29" s="7" t="n">
        <v>10400</v>
      </c>
    </row>
    <row r="30" customFormat="false" ht="15" hidden="false" customHeight="false" outlineLevel="0" collapsed="false">
      <c r="A30" s="5" t="n">
        <v>2024</v>
      </c>
      <c r="B30" s="5" t="s">
        <v>17</v>
      </c>
      <c r="C30" s="5" t="n">
        <v>5</v>
      </c>
      <c r="D30" s="6" t="n">
        <v>201400</v>
      </c>
      <c r="E30" s="6" t="n">
        <v>44200</v>
      </c>
      <c r="F30" s="6" t="n">
        <v>163600</v>
      </c>
      <c r="G30" s="6" t="n">
        <v>20100</v>
      </c>
      <c r="H30" s="6" t="n">
        <v>10100</v>
      </c>
      <c r="I30" s="6" t="n">
        <v>220400</v>
      </c>
      <c r="J30" s="6" t="n">
        <v>48300</v>
      </c>
      <c r="K30" s="6" t="n">
        <v>179100</v>
      </c>
      <c r="L30" s="6" t="n">
        <v>22000</v>
      </c>
      <c r="M30" s="6" t="n">
        <v>11000</v>
      </c>
    </row>
    <row r="31" customFormat="false" ht="15" hidden="false" customHeight="false" outlineLevel="0" collapsed="false">
      <c r="A31" s="2" t="n">
        <v>2024</v>
      </c>
      <c r="B31" s="2" t="s">
        <v>18</v>
      </c>
      <c r="C31" s="2" t="n">
        <v>6</v>
      </c>
      <c r="D31" s="7" t="n">
        <v>201400</v>
      </c>
      <c r="E31" s="7" t="n">
        <v>44200</v>
      </c>
      <c r="F31" s="7" t="n">
        <v>163600</v>
      </c>
      <c r="G31" s="7" t="n">
        <v>20100</v>
      </c>
      <c r="H31" s="7" t="n">
        <v>10100</v>
      </c>
      <c r="I31" s="7" t="n">
        <v>220400</v>
      </c>
      <c r="J31" s="7" t="n">
        <v>48300</v>
      </c>
      <c r="K31" s="7" t="n">
        <v>179100</v>
      </c>
      <c r="L31" s="7" t="n">
        <v>22000</v>
      </c>
      <c r="M31" s="7" t="n">
        <v>11000</v>
      </c>
    </row>
    <row r="32" customFormat="false" ht="15" hidden="false" customHeight="false" outlineLevel="0" collapsed="false">
      <c r="A32" s="5" t="n">
        <v>2024</v>
      </c>
      <c r="B32" s="5" t="s">
        <v>19</v>
      </c>
      <c r="C32" s="5" t="n">
        <v>7</v>
      </c>
      <c r="D32" s="6" t="n">
        <v>201400</v>
      </c>
      <c r="E32" s="6" t="n">
        <v>44200</v>
      </c>
      <c r="F32" s="6" t="n">
        <v>163600</v>
      </c>
      <c r="G32" s="6" t="n">
        <v>20100</v>
      </c>
      <c r="H32" s="6" t="n">
        <v>10100</v>
      </c>
      <c r="I32" s="6" t="n">
        <v>220400</v>
      </c>
      <c r="J32" s="6" t="n">
        <v>48300</v>
      </c>
      <c r="K32" s="6" t="n">
        <v>179100</v>
      </c>
      <c r="L32" s="6" t="n">
        <v>22000</v>
      </c>
      <c r="M32" s="6" t="n">
        <v>11000</v>
      </c>
    </row>
    <row r="33" customFormat="false" ht="15" hidden="false" customHeight="false" outlineLevel="0" collapsed="false">
      <c r="A33" s="2" t="n">
        <v>2024</v>
      </c>
      <c r="B33" s="2" t="s">
        <v>20</v>
      </c>
      <c r="C33" s="2" t="n">
        <v>8</v>
      </c>
      <c r="D33" s="7" t="n">
        <v>190800</v>
      </c>
      <c r="E33" s="7" t="n">
        <v>44200</v>
      </c>
      <c r="F33" s="7" t="n">
        <v>155000</v>
      </c>
      <c r="G33" s="7" t="n">
        <v>19100</v>
      </c>
      <c r="H33" s="7" t="n">
        <v>9500</v>
      </c>
      <c r="I33" s="7" t="n">
        <v>208800</v>
      </c>
      <c r="J33" s="7" t="n">
        <v>48300</v>
      </c>
      <c r="K33" s="7" t="n">
        <v>169600</v>
      </c>
      <c r="L33" s="7" t="n">
        <v>20900</v>
      </c>
      <c r="M33" s="7" t="n">
        <v>10400</v>
      </c>
    </row>
    <row r="34" customFormat="false" ht="15" hidden="false" customHeight="false" outlineLevel="0" collapsed="false">
      <c r="A34" s="5" t="n">
        <v>2024</v>
      </c>
      <c r="B34" s="5" t="s">
        <v>21</v>
      </c>
      <c r="C34" s="5" t="n">
        <v>9</v>
      </c>
      <c r="D34" s="6" t="n">
        <v>180200</v>
      </c>
      <c r="E34" s="6" t="n">
        <v>44200</v>
      </c>
      <c r="F34" s="6" t="n">
        <v>146400</v>
      </c>
      <c r="G34" s="6" t="n">
        <v>18000</v>
      </c>
      <c r="H34" s="6" t="n">
        <v>9000</v>
      </c>
      <c r="I34" s="6" t="n">
        <v>197200</v>
      </c>
      <c r="J34" s="6" t="n">
        <v>48300</v>
      </c>
      <c r="K34" s="6" t="n">
        <v>160200</v>
      </c>
      <c r="L34" s="6" t="n">
        <v>19700</v>
      </c>
      <c r="M34" s="6" t="n">
        <v>9900</v>
      </c>
    </row>
    <row r="35" customFormat="false" ht="15" hidden="false" customHeight="false" outlineLevel="0" collapsed="false">
      <c r="A35" s="2" t="n">
        <v>2024</v>
      </c>
      <c r="B35" s="2" t="s">
        <v>22</v>
      </c>
      <c r="C35" s="2" t="n">
        <v>10</v>
      </c>
      <c r="D35" s="7" t="n">
        <v>180200</v>
      </c>
      <c r="E35" s="7" t="n">
        <v>44200</v>
      </c>
      <c r="F35" s="7" t="n">
        <v>146400</v>
      </c>
      <c r="G35" s="7" t="n">
        <v>18000</v>
      </c>
      <c r="H35" s="7" t="n">
        <v>9000</v>
      </c>
      <c r="I35" s="7" t="n">
        <v>197200</v>
      </c>
      <c r="J35" s="7" t="n">
        <v>48300</v>
      </c>
      <c r="K35" s="7" t="n">
        <v>160200</v>
      </c>
      <c r="L35" s="7" t="n">
        <v>19700</v>
      </c>
      <c r="M35" s="7" t="n">
        <v>9900</v>
      </c>
    </row>
    <row r="36" customFormat="false" ht="15" hidden="false" customHeight="false" outlineLevel="0" collapsed="false">
      <c r="A36" s="5" t="n">
        <v>2024</v>
      </c>
      <c r="B36" s="5" t="s">
        <v>23</v>
      </c>
      <c r="C36" s="5" t="n">
        <v>11</v>
      </c>
      <c r="D36" s="6" t="n">
        <v>169600</v>
      </c>
      <c r="E36" s="6" t="n">
        <v>44200</v>
      </c>
      <c r="F36" s="6" t="n">
        <v>137800</v>
      </c>
      <c r="G36" s="6" t="n">
        <v>17000</v>
      </c>
      <c r="H36" s="6" t="n">
        <v>8500</v>
      </c>
      <c r="I36" s="6" t="n">
        <v>185600</v>
      </c>
      <c r="J36" s="6" t="n">
        <v>48300</v>
      </c>
      <c r="K36" s="6" t="n">
        <v>150800</v>
      </c>
      <c r="L36" s="6" t="n">
        <v>18600</v>
      </c>
      <c r="M36" s="6" t="n">
        <v>9300</v>
      </c>
    </row>
    <row r="37" customFormat="false" ht="15" hidden="false" customHeight="false" outlineLevel="0" collapsed="false">
      <c r="A37" s="2" t="n">
        <v>2024</v>
      </c>
      <c r="B37" s="2" t="s">
        <v>24</v>
      </c>
      <c r="C37" s="2" t="n">
        <v>12</v>
      </c>
      <c r="D37" s="7" t="n">
        <v>180200</v>
      </c>
      <c r="E37" s="7" t="n">
        <v>43800</v>
      </c>
      <c r="F37" s="7" t="n">
        <v>146500</v>
      </c>
      <c r="G37" s="7" t="n">
        <v>18100</v>
      </c>
      <c r="H37" s="7" t="n">
        <v>8900</v>
      </c>
      <c r="I37" s="7" t="n">
        <v>197200</v>
      </c>
      <c r="J37" s="7" t="n">
        <v>48700</v>
      </c>
      <c r="K37" s="7" t="n">
        <v>160300</v>
      </c>
      <c r="L37" s="7" t="n">
        <v>19800</v>
      </c>
      <c r="M37" s="7" t="n">
        <v>9900</v>
      </c>
    </row>
    <row r="39" customFormat="false" ht="15" hidden="false" customHeight="false" outlineLevel="0" collapsed="false">
      <c r="A39" s="8" t="s">
        <v>25</v>
      </c>
    </row>
    <row r="41" customFormat="false" ht="15" hidden="false" customHeight="false" outlineLevel="0" collapsed="false">
      <c r="A41" s="9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8" colorId="64" zoomScale="140" zoomScaleNormal="140" zoomScalePageLayoutView="100" workbookViewId="0">
      <selection pane="topLeft" activeCell="B42" activeCellId="0" sqref="B42"/>
    </sheetView>
  </sheetViews>
  <sheetFormatPr defaultColWidth="8.54296875" defaultRowHeight="13.8" customHeight="false" zeroHeight="false" outlineLevelRow="0" outlineLevelCol="0"/>
  <cols>
    <col collapsed="false" customWidth="true" hidden="false" outlineLevel="0" max="1" min="1" style="10" width="26"/>
    <col collapsed="false" customWidth="true" hidden="false" outlineLevel="0" max="3" min="2" style="10" width="14"/>
    <col collapsed="false" customWidth="true" hidden="false" outlineLevel="0" max="4" min="4" style="10" width="28"/>
    <col collapsed="false" customWidth="true" hidden="false" outlineLevel="0" max="5" min="5" style="10" width="45"/>
  </cols>
  <sheetData>
    <row r="1" customFormat="false" ht="27.75" hidden="false" customHeight="true" outlineLevel="0" collapsed="false">
      <c r="A1" s="11" t="s">
        <v>27</v>
      </c>
      <c r="B1" s="11"/>
      <c r="C1" s="11"/>
      <c r="D1" s="11"/>
      <c r="E1" s="11"/>
      <c r="F1" s="11"/>
      <c r="G1" s="11"/>
    </row>
    <row r="2" customFormat="false" ht="13.8" hidden="false" customHeight="false" outlineLevel="0" collapsed="false">
      <c r="A2" s="12" t="s">
        <v>28</v>
      </c>
      <c r="B2" s="12"/>
      <c r="C2" s="12"/>
      <c r="D2" s="12"/>
      <c r="E2" s="12"/>
      <c r="F2" s="12"/>
      <c r="G2" s="12"/>
    </row>
    <row r="4" customFormat="false" ht="21.75" hidden="false" customHeight="true" outlineLevel="0" collapsed="false">
      <c r="A4" s="13" t="s">
        <v>29</v>
      </c>
      <c r="B4" s="13" t="s">
        <v>30</v>
      </c>
      <c r="C4" s="13" t="s">
        <v>31</v>
      </c>
      <c r="D4" s="13" t="s">
        <v>32</v>
      </c>
      <c r="E4" s="13" t="s">
        <v>33</v>
      </c>
    </row>
    <row r="5" customFormat="false" ht="19.5" hidden="false" customHeight="true" outlineLevel="0" collapsed="false">
      <c r="A5" s="14" t="s">
        <v>34</v>
      </c>
      <c r="B5" s="14"/>
      <c r="C5" s="14"/>
      <c r="D5" s="14"/>
      <c r="E5" s="14"/>
    </row>
    <row r="6" customFormat="false" ht="39.75" hidden="false" customHeight="true" outlineLevel="0" collapsed="false">
      <c r="A6" s="15" t="s">
        <v>35</v>
      </c>
      <c r="B6" s="16" t="n">
        <f aca="false">SUM(RawData!D2:E13)</f>
        <v>2100000</v>
      </c>
      <c r="C6" s="17"/>
      <c r="D6" s="18" t="s">
        <v>36</v>
      </c>
      <c r="E6" s="19" t="s">
        <v>37</v>
      </c>
    </row>
    <row r="7" customFormat="false" ht="39.75" hidden="false" customHeight="true" outlineLevel="0" collapsed="false">
      <c r="A7" s="20" t="s">
        <v>38</v>
      </c>
      <c r="B7" s="21" t="n">
        <v>240000</v>
      </c>
      <c r="C7" s="22" t="n">
        <f aca="false">B7/B6</f>
        <v>0.114285714285714</v>
      </c>
      <c r="D7" s="23" t="s">
        <v>39</v>
      </c>
      <c r="E7" s="24" t="s">
        <v>40</v>
      </c>
    </row>
    <row r="8" customFormat="false" ht="39.75" hidden="false" customHeight="true" outlineLevel="0" collapsed="false">
      <c r="A8" s="20" t="s">
        <v>41</v>
      </c>
      <c r="B8" s="21" t="n">
        <v>169200</v>
      </c>
      <c r="C8" s="22" t="n">
        <f aca="false">B8/B6</f>
        <v>0.0805714285714286</v>
      </c>
      <c r="D8" s="23" t="s">
        <v>42</v>
      </c>
      <c r="E8" s="24" t="s">
        <v>43</v>
      </c>
    </row>
    <row r="9" customFormat="false" ht="39.75" hidden="false" customHeight="true" outlineLevel="0" collapsed="false">
      <c r="A9" s="25" t="s">
        <v>44</v>
      </c>
      <c r="B9" s="26" t="n">
        <v>0</v>
      </c>
      <c r="C9" s="27" t="n">
        <v>0</v>
      </c>
      <c r="D9" s="23" t="s">
        <v>45</v>
      </c>
      <c r="E9" s="28" t="s">
        <v>46</v>
      </c>
    </row>
    <row r="10" customFormat="false" ht="39.75" hidden="false" customHeight="true" outlineLevel="0" collapsed="false">
      <c r="A10" s="15" t="s">
        <v>47</v>
      </c>
      <c r="B10" s="16" t="n">
        <f aca="false">SUM(RawData!D14:E25)</f>
        <v>2400000</v>
      </c>
      <c r="C10" s="17"/>
      <c r="D10" s="18" t="s">
        <v>48</v>
      </c>
      <c r="E10" s="19" t="s">
        <v>49</v>
      </c>
    </row>
    <row r="12" customFormat="false" ht="18" hidden="false" customHeight="true" outlineLevel="0" collapsed="false">
      <c r="A12" s="29" t="s">
        <v>50</v>
      </c>
      <c r="B12" s="29"/>
      <c r="C12" s="29"/>
      <c r="D12" s="29"/>
      <c r="E12" s="29"/>
    </row>
    <row r="14" customFormat="false" ht="21.75" hidden="false" customHeight="true" outlineLevel="0" collapsed="false">
      <c r="A14" s="13" t="s">
        <v>29</v>
      </c>
      <c r="B14" s="13" t="s">
        <v>30</v>
      </c>
      <c r="C14" s="13" t="s">
        <v>31</v>
      </c>
      <c r="D14" s="13" t="s">
        <v>32</v>
      </c>
      <c r="E14" s="13" t="s">
        <v>33</v>
      </c>
    </row>
    <row r="15" customFormat="false" ht="19.5" hidden="false" customHeight="true" outlineLevel="0" collapsed="false">
      <c r="A15" s="14" t="s">
        <v>50</v>
      </c>
      <c r="B15" s="14"/>
      <c r="C15" s="14"/>
      <c r="D15" s="14"/>
      <c r="E15" s="14"/>
    </row>
    <row r="16" customFormat="false" ht="39.75" hidden="false" customHeight="true" outlineLevel="0" collapsed="false">
      <c r="A16" s="15" t="s">
        <v>51</v>
      </c>
      <c r="B16" s="16" t="n">
        <f aca="false">SUM(RawData!D14:E25)</f>
        <v>2400000</v>
      </c>
      <c r="C16" s="17"/>
      <c r="D16" s="18" t="s">
        <v>36</v>
      </c>
      <c r="E16" s="19" t="s">
        <v>52</v>
      </c>
    </row>
    <row r="17" customFormat="false" ht="39.75" hidden="false" customHeight="true" outlineLevel="0" collapsed="false">
      <c r="A17" s="20" t="s">
        <v>38</v>
      </c>
      <c r="B17" s="21" t="n">
        <v>258000</v>
      </c>
      <c r="C17" s="22" t="n">
        <f aca="false">B17/B16</f>
        <v>0.1075</v>
      </c>
      <c r="D17" s="23" t="s">
        <v>53</v>
      </c>
      <c r="E17" s="24" t="s">
        <v>54</v>
      </c>
    </row>
    <row r="18" customFormat="false" ht="39.75" hidden="false" customHeight="true" outlineLevel="0" collapsed="false">
      <c r="A18" s="20" t="s">
        <v>41</v>
      </c>
      <c r="B18" s="21" t="n">
        <v>187200</v>
      </c>
      <c r="C18" s="22" t="n">
        <f aca="false">B18/B16</f>
        <v>0.078</v>
      </c>
      <c r="D18" s="23" t="s">
        <v>55</v>
      </c>
      <c r="E18" s="24" t="s">
        <v>56</v>
      </c>
    </row>
    <row r="19" customFormat="false" ht="39.75" hidden="false" customHeight="true" outlineLevel="0" collapsed="false">
      <c r="A19" s="25" t="s">
        <v>44</v>
      </c>
      <c r="B19" s="26" t="n">
        <v>0</v>
      </c>
      <c r="C19" s="27" t="n">
        <v>0</v>
      </c>
      <c r="D19" s="23" t="s">
        <v>45</v>
      </c>
      <c r="E19" s="28" t="s">
        <v>46</v>
      </c>
    </row>
    <row r="20" customFormat="false" ht="39.75" hidden="false" customHeight="true" outlineLevel="0" collapsed="false">
      <c r="A20" s="15" t="s">
        <v>57</v>
      </c>
      <c r="B20" s="16" t="n">
        <f aca="false">SUM(RawData!D26:E37)</f>
        <v>2650000</v>
      </c>
      <c r="C20" s="17"/>
      <c r="D20" s="18" t="s">
        <v>48</v>
      </c>
      <c r="E20" s="19" t="s">
        <v>58</v>
      </c>
    </row>
    <row r="21" customFormat="false" ht="21.75" hidden="false" customHeight="true" outlineLevel="0" collapsed="false">
      <c r="A21" s="13"/>
      <c r="B21" s="13"/>
      <c r="C21" s="13"/>
      <c r="D21" s="13"/>
      <c r="E21" s="13"/>
    </row>
    <row r="23" customFormat="false" ht="13.8" hidden="false" customHeight="false" outlineLevel="0" collapsed="false">
      <c r="A23" s="14" t="s">
        <v>59</v>
      </c>
      <c r="B23" s="14"/>
      <c r="C23" s="14"/>
      <c r="D23" s="14"/>
      <c r="E23" s="14"/>
    </row>
    <row r="24" customFormat="false" ht="13.8" hidden="false" customHeight="false" outlineLevel="0" collapsed="false">
      <c r="A24" s="30" t="s">
        <v>0</v>
      </c>
      <c r="B24" s="30" t="s">
        <v>60</v>
      </c>
      <c r="C24" s="30" t="s">
        <v>61</v>
      </c>
      <c r="D24" s="30" t="s">
        <v>62</v>
      </c>
      <c r="E24" s="30" t="s">
        <v>63</v>
      </c>
    </row>
    <row r="25" customFormat="false" ht="13.8" hidden="false" customHeight="false" outlineLevel="0" collapsed="false">
      <c r="A25" s="31" t="n">
        <v>2022</v>
      </c>
      <c r="B25" s="32" t="n">
        <f aca="false">B6</f>
        <v>2100000</v>
      </c>
      <c r="C25" s="32" t="n">
        <f aca="false">SUM(RawData!F2:H13)</f>
        <v>1617000</v>
      </c>
      <c r="D25" s="33" t="n">
        <f aca="false">B25-C25</f>
        <v>483000</v>
      </c>
      <c r="E25" s="34" t="n">
        <f aca="false">D25/B25</f>
        <v>0.23</v>
      </c>
    </row>
    <row r="26" customFormat="false" ht="13.8" hidden="false" customHeight="false" outlineLevel="0" collapsed="false">
      <c r="A26" s="35" t="n">
        <v>2023</v>
      </c>
      <c r="B26" s="36" t="n">
        <f aca="false">B10</f>
        <v>2400000</v>
      </c>
      <c r="C26" s="32" t="n">
        <f aca="false">SUM(RawData!F14:H25)</f>
        <v>1848000</v>
      </c>
      <c r="D26" s="33" t="n">
        <f aca="false">B26-C26</f>
        <v>552000</v>
      </c>
      <c r="E26" s="34" t="n">
        <f aca="false">D26/B26</f>
        <v>0.23</v>
      </c>
    </row>
    <row r="27" customFormat="false" ht="13.8" hidden="false" customHeight="false" outlineLevel="0" collapsed="false">
      <c r="A27" s="31" t="n">
        <v>2024</v>
      </c>
      <c r="B27" s="32" t="n">
        <f aca="false">B20</f>
        <v>2650000</v>
      </c>
      <c r="C27" s="32" t="n">
        <f aca="false">SUM(RawData!F26:H37)</f>
        <v>2040500</v>
      </c>
      <c r="D27" s="33" t="n">
        <f aca="false">B27-C27</f>
        <v>609500</v>
      </c>
      <c r="E27" s="34" t="n">
        <f aca="false">D27/B27</f>
        <v>0.23</v>
      </c>
    </row>
  </sheetData>
  <mergeCells count="6">
    <mergeCell ref="A1:G1"/>
    <mergeCell ref="A2:G2"/>
    <mergeCell ref="A5:E5"/>
    <mergeCell ref="A12:E12"/>
    <mergeCell ref="A15:E15"/>
    <mergeCell ref="A23:E2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7"/>
  <sheetViews>
    <sheetView showFormulas="false" showGridLines="true" showRowColHeaders="true" showZeros="true" rightToLeft="false" tabSelected="false" showOutlineSymbols="true" defaultGridColor="true" view="normal" topLeftCell="A22" colorId="64" zoomScale="140" zoomScaleNormal="140" zoomScalePageLayoutView="100" workbookViewId="0">
      <selection pane="topLeft" activeCell="A22" activeCellId="0" sqref="A2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2" width="18"/>
    <col collapsed="false" customWidth="true" hidden="false" outlineLevel="0" max="2" min="2" style="2" width="9.67"/>
    <col collapsed="false" customWidth="true" hidden="false" outlineLevel="0" max="13" min="3" style="2" width="9"/>
    <col collapsed="false" customWidth="true" hidden="false" outlineLevel="0" max="14" min="14" style="2" width="12"/>
    <col collapsed="false" customWidth="true" hidden="false" outlineLevel="0" max="15" min="15" style="2" width="45"/>
  </cols>
  <sheetData>
    <row r="1" customFormat="false" ht="27.75" hidden="false" customHeight="true" outlineLevel="0" collapsed="false">
      <c r="A1" s="37" t="s">
        <v>64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 customFormat="false" ht="15.75" hidden="false" customHeight="true" outlineLevel="0" collapsed="false">
      <c r="A2" s="38" t="s">
        <v>65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</row>
    <row r="4" customFormat="false" ht="15" hidden="false" customHeight="false" outlineLevel="0" collapsed="false">
      <c r="A4" s="39" t="s">
        <v>66</v>
      </c>
      <c r="B4" s="39"/>
      <c r="C4" s="39"/>
      <c r="D4" s="39"/>
      <c r="E4" s="39"/>
      <c r="F4" s="39"/>
      <c r="G4" s="39"/>
      <c r="H4" s="39"/>
      <c r="I4" s="39"/>
      <c r="J4" s="39"/>
      <c r="K4" s="39"/>
      <c r="L4" s="39"/>
      <c r="M4" s="39"/>
      <c r="N4" s="39"/>
    </row>
    <row r="5" customFormat="false" ht="15" hidden="false" customHeight="false" outlineLevel="0" collapsed="false">
      <c r="A5" s="40" t="s">
        <v>0</v>
      </c>
      <c r="B5" s="41" t="s">
        <v>13</v>
      </c>
      <c r="C5" s="41" t="s">
        <v>14</v>
      </c>
      <c r="D5" s="41" t="s">
        <v>15</v>
      </c>
      <c r="E5" s="41" t="s">
        <v>16</v>
      </c>
      <c r="F5" s="41" t="s">
        <v>17</v>
      </c>
      <c r="G5" s="41" t="s">
        <v>18</v>
      </c>
      <c r="H5" s="41" t="s">
        <v>19</v>
      </c>
      <c r="I5" s="41" t="s">
        <v>20</v>
      </c>
      <c r="J5" s="41" t="s">
        <v>21</v>
      </c>
      <c r="K5" s="41" t="s">
        <v>22</v>
      </c>
      <c r="L5" s="41" t="s">
        <v>23</v>
      </c>
      <c r="M5" s="41" t="s">
        <v>24</v>
      </c>
      <c r="N5" s="40" t="s">
        <v>67</v>
      </c>
      <c r="O5" s="42" t="s">
        <v>68</v>
      </c>
    </row>
    <row r="6" customFormat="false" ht="30" hidden="false" customHeight="true" outlineLevel="0" collapsed="false">
      <c r="A6" s="43" t="n">
        <v>2022</v>
      </c>
      <c r="B6" s="44" t="n">
        <v>41</v>
      </c>
      <c r="C6" s="44" t="n">
        <v>41</v>
      </c>
      <c r="D6" s="44" t="n">
        <v>41</v>
      </c>
      <c r="E6" s="44" t="n">
        <v>42</v>
      </c>
      <c r="F6" s="44" t="n">
        <v>42</v>
      </c>
      <c r="G6" s="44" t="n">
        <v>42</v>
      </c>
      <c r="H6" s="44" t="n">
        <v>42</v>
      </c>
      <c r="I6" s="44" t="n">
        <v>42</v>
      </c>
      <c r="J6" s="44" t="n">
        <v>42</v>
      </c>
      <c r="K6" s="44" t="n">
        <v>43</v>
      </c>
      <c r="L6" s="44" t="n">
        <v>43</v>
      </c>
      <c r="M6" s="44" t="n">
        <v>43</v>
      </c>
      <c r="N6" s="45" t="n">
        <f aca="false">AVERAGE(B6:M6)</f>
        <v>42</v>
      </c>
      <c r="O6" s="46" t="s">
        <v>69</v>
      </c>
    </row>
    <row r="7" customFormat="false" ht="30" hidden="false" customHeight="true" outlineLevel="0" collapsed="false">
      <c r="A7" s="43" t="n">
        <v>2023</v>
      </c>
      <c r="B7" s="44" t="n">
        <v>46</v>
      </c>
      <c r="C7" s="44" t="n">
        <v>46</v>
      </c>
      <c r="D7" s="44" t="n">
        <v>46</v>
      </c>
      <c r="E7" s="44" t="n">
        <v>46</v>
      </c>
      <c r="F7" s="44" t="n">
        <v>47</v>
      </c>
      <c r="G7" s="44" t="n">
        <v>47</v>
      </c>
      <c r="H7" s="44" t="n">
        <v>47</v>
      </c>
      <c r="I7" s="44" t="n">
        <v>47</v>
      </c>
      <c r="J7" s="44" t="n">
        <v>48</v>
      </c>
      <c r="K7" s="44" t="n">
        <v>48</v>
      </c>
      <c r="L7" s="44" t="n">
        <v>48</v>
      </c>
      <c r="M7" s="44" t="n">
        <v>48</v>
      </c>
      <c r="N7" s="45" t="n">
        <f aca="false">AVERAGE(B7:M7)</f>
        <v>47</v>
      </c>
      <c r="O7" s="46" t="s">
        <v>70</v>
      </c>
    </row>
    <row r="8" customFormat="false" ht="30" hidden="false" customHeight="true" outlineLevel="0" collapsed="false">
      <c r="A8" s="43" t="n">
        <v>2024</v>
      </c>
      <c r="B8" s="44" t="n">
        <v>51</v>
      </c>
      <c r="C8" s="44" t="n">
        <v>51</v>
      </c>
      <c r="D8" s="44" t="n">
        <v>51</v>
      </c>
      <c r="E8" s="44" t="n">
        <v>52</v>
      </c>
      <c r="F8" s="44" t="n">
        <v>52</v>
      </c>
      <c r="G8" s="44" t="n">
        <v>52</v>
      </c>
      <c r="H8" s="44" t="n">
        <v>52</v>
      </c>
      <c r="I8" s="44" t="n">
        <v>52</v>
      </c>
      <c r="J8" s="44" t="n">
        <v>52</v>
      </c>
      <c r="K8" s="44" t="n">
        <v>53</v>
      </c>
      <c r="L8" s="44" t="n">
        <v>53</v>
      </c>
      <c r="M8" s="44" t="n">
        <v>53</v>
      </c>
      <c r="N8" s="45" t="n">
        <f aca="false">AVERAGE(B8:M8)</f>
        <v>52</v>
      </c>
      <c r="O8" s="46" t="s">
        <v>71</v>
      </c>
    </row>
    <row r="9" customFormat="false" ht="15" hidden="false" customHeight="fals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</row>
    <row r="10" customFormat="false" ht="15" hidden="false" customHeight="false" outlineLevel="0" collapsed="false">
      <c r="A10" s="47" t="s">
        <v>72</v>
      </c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10"/>
    </row>
    <row r="11" customFormat="false" ht="15" hidden="false" customHeight="false" outlineLevel="0" collapsed="false">
      <c r="A11" s="48" t="s">
        <v>0</v>
      </c>
      <c r="B11" s="48" t="s">
        <v>13</v>
      </c>
      <c r="C11" s="48" t="s">
        <v>14</v>
      </c>
      <c r="D11" s="48" t="s">
        <v>15</v>
      </c>
      <c r="E11" s="48" t="s">
        <v>16</v>
      </c>
      <c r="F11" s="48" t="s">
        <v>17</v>
      </c>
      <c r="G11" s="48" t="s">
        <v>18</v>
      </c>
      <c r="H11" s="48" t="s">
        <v>19</v>
      </c>
      <c r="I11" s="48" t="s">
        <v>20</v>
      </c>
      <c r="J11" s="48" t="s">
        <v>21</v>
      </c>
      <c r="K11" s="48" t="s">
        <v>22</v>
      </c>
      <c r="L11" s="48" t="s">
        <v>23</v>
      </c>
      <c r="M11" s="48" t="s">
        <v>24</v>
      </c>
      <c r="N11" s="48" t="s">
        <v>73</v>
      </c>
      <c r="O11" s="49" t="s">
        <v>68</v>
      </c>
    </row>
    <row r="12" customFormat="false" ht="34.5" hidden="false" customHeight="true" outlineLevel="0" collapsed="false">
      <c r="A12" s="43" t="n">
        <v>2022</v>
      </c>
      <c r="B12" s="50" t="n">
        <v>4000</v>
      </c>
      <c r="C12" s="50" t="n">
        <v>4000</v>
      </c>
      <c r="D12" s="50" t="n">
        <v>4000</v>
      </c>
      <c r="E12" s="50" t="n">
        <v>4000</v>
      </c>
      <c r="F12" s="50" t="n">
        <v>4000</v>
      </c>
      <c r="G12" s="50" t="n">
        <v>4000</v>
      </c>
      <c r="H12" s="50" t="n">
        <v>4000</v>
      </c>
      <c r="I12" s="50" t="n">
        <v>4000</v>
      </c>
      <c r="J12" s="50" t="n">
        <v>4000</v>
      </c>
      <c r="K12" s="50" t="n">
        <v>4000</v>
      </c>
      <c r="L12" s="50" t="n">
        <v>4000</v>
      </c>
      <c r="M12" s="50" t="n">
        <v>4000</v>
      </c>
      <c r="N12" s="51" t="n">
        <f aca="false">AVERAGE(B12:M12)</f>
        <v>4000</v>
      </c>
      <c r="O12" s="46" t="s">
        <v>74</v>
      </c>
    </row>
    <row r="13" customFormat="false" ht="34.5" hidden="false" customHeight="true" outlineLevel="0" collapsed="false">
      <c r="A13" s="43" t="n">
        <v>2023</v>
      </c>
      <c r="B13" s="50" t="n">
        <v>4300</v>
      </c>
      <c r="C13" s="50" t="n">
        <v>4300</v>
      </c>
      <c r="D13" s="50" t="n">
        <v>4300</v>
      </c>
      <c r="E13" s="50" t="n">
        <v>4300</v>
      </c>
      <c r="F13" s="50" t="n">
        <v>4300</v>
      </c>
      <c r="G13" s="50" t="n">
        <v>4300</v>
      </c>
      <c r="H13" s="50" t="n">
        <v>4300</v>
      </c>
      <c r="I13" s="50" t="n">
        <v>4300</v>
      </c>
      <c r="J13" s="50" t="n">
        <v>4300</v>
      </c>
      <c r="K13" s="50" t="n">
        <v>4300</v>
      </c>
      <c r="L13" s="50" t="n">
        <v>4300</v>
      </c>
      <c r="M13" s="50" t="n">
        <v>4300</v>
      </c>
      <c r="N13" s="51" t="n">
        <f aca="false">AVERAGE(B13:M13)</f>
        <v>4300</v>
      </c>
      <c r="O13" s="46" t="s">
        <v>75</v>
      </c>
    </row>
    <row r="14" customFormat="false" ht="34.5" hidden="false" customHeight="true" outlineLevel="0" collapsed="false">
      <c r="A14" s="43" t="n">
        <v>2024</v>
      </c>
      <c r="B14" s="50" t="n">
        <v>4600</v>
      </c>
      <c r="C14" s="50" t="n">
        <v>4600</v>
      </c>
      <c r="D14" s="50" t="n">
        <v>4600</v>
      </c>
      <c r="E14" s="50" t="n">
        <v>4600</v>
      </c>
      <c r="F14" s="50" t="n">
        <v>4600</v>
      </c>
      <c r="G14" s="50" t="n">
        <v>4600</v>
      </c>
      <c r="H14" s="50" t="n">
        <v>4600</v>
      </c>
      <c r="I14" s="50" t="n">
        <v>4600</v>
      </c>
      <c r="J14" s="50" t="n">
        <v>4600</v>
      </c>
      <c r="K14" s="50" t="n">
        <v>4600</v>
      </c>
      <c r="L14" s="50" t="n">
        <v>4600</v>
      </c>
      <c r="M14" s="50" t="n">
        <v>4600</v>
      </c>
      <c r="N14" s="51" t="n">
        <f aca="false">AVERAGE(B14:M14)</f>
        <v>4600</v>
      </c>
      <c r="O14" s="46" t="s">
        <v>76</v>
      </c>
    </row>
    <row r="15" customFormat="false" ht="15" hidden="false" customHeight="false" outlineLevel="0" collapsed="false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</row>
    <row r="16" customFormat="false" ht="15" hidden="false" customHeight="false" outlineLevel="0" collapsed="false">
      <c r="A16" s="47" t="s">
        <v>77</v>
      </c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10"/>
    </row>
    <row r="17" customFormat="false" ht="18" hidden="false" customHeight="true" outlineLevel="0" collapsed="false">
      <c r="A17" s="43" t="n">
        <v>2022</v>
      </c>
      <c r="B17" s="50" t="n">
        <v>35000</v>
      </c>
      <c r="C17" s="50" t="n">
        <v>35000</v>
      </c>
      <c r="D17" s="50" t="n">
        <v>35000</v>
      </c>
      <c r="E17" s="50" t="n">
        <v>35000</v>
      </c>
      <c r="F17" s="50" t="n">
        <v>35000</v>
      </c>
      <c r="G17" s="50" t="n">
        <v>35000</v>
      </c>
      <c r="H17" s="50" t="n">
        <v>35000</v>
      </c>
      <c r="I17" s="50" t="n">
        <v>35000</v>
      </c>
      <c r="J17" s="50" t="n">
        <v>35000</v>
      </c>
      <c r="K17" s="50" t="n">
        <v>35000</v>
      </c>
      <c r="L17" s="50" t="n">
        <v>35000</v>
      </c>
      <c r="M17" s="50" t="n">
        <v>35000</v>
      </c>
      <c r="N17" s="51" t="n">
        <f aca="false">SUM(B17:M17)</f>
        <v>420000</v>
      </c>
      <c r="O17" s="52" t="s">
        <v>78</v>
      </c>
    </row>
    <row r="18" customFormat="false" ht="18" hidden="false" customHeight="true" outlineLevel="0" collapsed="false">
      <c r="A18" s="43" t="n">
        <v>2023</v>
      </c>
      <c r="B18" s="50" t="n">
        <v>40000</v>
      </c>
      <c r="C18" s="50" t="n">
        <v>40000</v>
      </c>
      <c r="D18" s="50" t="n">
        <v>40000</v>
      </c>
      <c r="E18" s="50" t="n">
        <v>40000</v>
      </c>
      <c r="F18" s="50" t="n">
        <v>40000</v>
      </c>
      <c r="G18" s="50" t="n">
        <v>40000</v>
      </c>
      <c r="H18" s="50" t="n">
        <v>40000</v>
      </c>
      <c r="I18" s="50" t="n">
        <v>40000</v>
      </c>
      <c r="J18" s="50" t="n">
        <v>40000</v>
      </c>
      <c r="K18" s="50" t="n">
        <v>40000</v>
      </c>
      <c r="L18" s="50" t="n">
        <v>40000</v>
      </c>
      <c r="M18" s="50" t="n">
        <v>40000</v>
      </c>
      <c r="N18" s="51" t="n">
        <f aca="false">SUM(B18:M18)</f>
        <v>480000</v>
      </c>
      <c r="O18" s="52" t="s">
        <v>79</v>
      </c>
    </row>
    <row r="19" customFormat="false" ht="18" hidden="false" customHeight="true" outlineLevel="0" collapsed="false">
      <c r="A19" s="43" t="n">
        <v>2024</v>
      </c>
      <c r="B19" s="50" t="n">
        <v>44200</v>
      </c>
      <c r="C19" s="50" t="n">
        <v>44200</v>
      </c>
      <c r="D19" s="50" t="n">
        <v>44200</v>
      </c>
      <c r="E19" s="50" t="n">
        <v>44200</v>
      </c>
      <c r="F19" s="50" t="n">
        <v>44200</v>
      </c>
      <c r="G19" s="50" t="n">
        <v>44200</v>
      </c>
      <c r="H19" s="50" t="n">
        <v>44200</v>
      </c>
      <c r="I19" s="50" t="n">
        <v>44200</v>
      </c>
      <c r="J19" s="50" t="n">
        <v>44200</v>
      </c>
      <c r="K19" s="50" t="n">
        <v>44200</v>
      </c>
      <c r="L19" s="50" t="n">
        <v>44200</v>
      </c>
      <c r="M19" s="50" t="n">
        <v>44200</v>
      </c>
      <c r="N19" s="51" t="n">
        <f aca="false">SUM(B19:M19)</f>
        <v>530400</v>
      </c>
      <c r="O19" s="52" t="s">
        <v>80</v>
      </c>
    </row>
    <row r="20" customFormat="false" ht="15" hidden="false" customHeight="false" outlineLevel="0" collapsed="false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</row>
    <row r="21" customFormat="false" ht="15" hidden="false" customHeight="false" outlineLevel="0" collapsed="false">
      <c r="A21" s="53" t="s">
        <v>81</v>
      </c>
      <c r="B21" s="53"/>
      <c r="C21" s="53"/>
      <c r="D21" s="53"/>
      <c r="E21" s="53"/>
      <c r="F21" s="53"/>
      <c r="G21" s="10"/>
      <c r="H21" s="10"/>
      <c r="I21" s="10"/>
      <c r="J21" s="10"/>
      <c r="K21" s="10"/>
      <c r="L21" s="10"/>
      <c r="M21" s="10"/>
      <c r="N21" s="10"/>
      <c r="O21" s="10"/>
    </row>
    <row r="22" customFormat="false" ht="31.9" hidden="false" customHeight="false" outlineLevel="0" collapsed="false">
      <c r="A22" s="54" t="s">
        <v>0</v>
      </c>
      <c r="B22" s="54" t="s">
        <v>82</v>
      </c>
      <c r="C22" s="54" t="s">
        <v>83</v>
      </c>
      <c r="D22" s="54" t="s">
        <v>84</v>
      </c>
      <c r="E22" s="54" t="s">
        <v>85</v>
      </c>
      <c r="F22" s="54" t="s">
        <v>86</v>
      </c>
      <c r="G22" s="10"/>
      <c r="H22" s="10"/>
      <c r="I22" s="10"/>
      <c r="J22" s="10"/>
      <c r="K22" s="10"/>
      <c r="L22" s="10"/>
      <c r="M22" s="10"/>
      <c r="N22" s="10"/>
      <c r="O22" s="10"/>
    </row>
    <row r="23" customFormat="false" ht="15.75" hidden="false" customHeight="true" outlineLevel="0" collapsed="false">
      <c r="A23" s="55" t="n">
        <v>2022</v>
      </c>
      <c r="B23" s="56" t="n">
        <f aca="false">SUMIF(RawData!A:A,"=2022",RawData!F:F)</f>
        <v>1365000</v>
      </c>
      <c r="C23" s="57" t="n">
        <f aca="false">N6</f>
        <v>42</v>
      </c>
      <c r="D23" s="58" t="n">
        <f aca="false">B23/C23</f>
        <v>32500</v>
      </c>
      <c r="E23" s="58" t="n">
        <f aca="false">D23/12</f>
        <v>2708.33333333333</v>
      </c>
      <c r="F23" s="59" t="s">
        <v>87</v>
      </c>
      <c r="G23" s="10"/>
      <c r="H23" s="10"/>
      <c r="I23" s="10"/>
      <c r="J23" s="10"/>
      <c r="K23" s="10"/>
      <c r="L23" s="10"/>
      <c r="M23" s="10"/>
      <c r="N23" s="10"/>
      <c r="O23" s="10"/>
    </row>
    <row r="24" customFormat="false" ht="15.75" hidden="false" customHeight="true" outlineLevel="0" collapsed="false">
      <c r="A24" s="55" t="n">
        <v>2023</v>
      </c>
      <c r="B24" s="56" t="n">
        <f aca="false">SUMIF(RawData!A:A,"=2023",RawData!F:F)</f>
        <v>1560000</v>
      </c>
      <c r="C24" s="57" t="n">
        <f aca="false">N7</f>
        <v>47</v>
      </c>
      <c r="D24" s="58" t="n">
        <f aca="false">B24/C24</f>
        <v>33191.4893617021</v>
      </c>
      <c r="E24" s="58" t="n">
        <f aca="false">D24/12</f>
        <v>2765.95744680851</v>
      </c>
      <c r="F24" s="59" t="s">
        <v>87</v>
      </c>
      <c r="G24" s="10"/>
      <c r="H24" s="10"/>
      <c r="I24" s="10"/>
      <c r="J24" s="10"/>
      <c r="K24" s="10"/>
      <c r="L24" s="10"/>
      <c r="M24" s="10"/>
      <c r="N24" s="10"/>
      <c r="O24" s="10"/>
    </row>
    <row r="25" customFormat="false" ht="15.75" hidden="false" customHeight="true" outlineLevel="0" collapsed="false">
      <c r="A25" s="55" t="n">
        <v>2024</v>
      </c>
      <c r="B25" s="56" t="n">
        <f aca="false">SUMIF(RawData!A:A,"=2024",RawData!F:F)</f>
        <v>1722500</v>
      </c>
      <c r="C25" s="57" t="n">
        <f aca="false">N8</f>
        <v>52</v>
      </c>
      <c r="D25" s="58" t="n">
        <f aca="false">B25/C25</f>
        <v>33125</v>
      </c>
      <c r="E25" s="58" t="n">
        <f aca="false">D25/12</f>
        <v>2760.41666666667</v>
      </c>
      <c r="F25" s="59" t="s">
        <v>87</v>
      </c>
      <c r="G25" s="10"/>
      <c r="H25" s="10"/>
      <c r="I25" s="10"/>
      <c r="J25" s="10"/>
      <c r="K25" s="10"/>
      <c r="L25" s="10"/>
      <c r="M25" s="10"/>
      <c r="N25" s="10"/>
      <c r="O25" s="10"/>
    </row>
    <row r="27" customFormat="false" ht="15" hidden="false" customHeight="false" outlineLevel="0" collapsed="false">
      <c r="A27" s="53" t="s">
        <v>88</v>
      </c>
      <c r="B27" s="53"/>
      <c r="C27" s="53"/>
      <c r="D27" s="53"/>
      <c r="E27" s="53"/>
      <c r="F27" s="53"/>
    </row>
    <row r="28" customFormat="false" ht="31.9" hidden="false" customHeight="false" outlineLevel="0" collapsed="false">
      <c r="A28" s="54" t="s">
        <v>0</v>
      </c>
      <c r="B28" s="54" t="s">
        <v>89</v>
      </c>
      <c r="C28" s="54" t="s">
        <v>90</v>
      </c>
      <c r="D28" s="54" t="s">
        <v>91</v>
      </c>
      <c r="E28" s="54" t="s">
        <v>86</v>
      </c>
      <c r="G28" s="10"/>
      <c r="H28" s="10"/>
      <c r="I28" s="10"/>
      <c r="J28" s="10"/>
      <c r="K28" s="10"/>
      <c r="L28" s="10"/>
      <c r="M28" s="10"/>
      <c r="N28" s="10"/>
      <c r="O28" s="10"/>
    </row>
    <row r="29" customFormat="false" ht="15" hidden="false" customHeight="false" outlineLevel="0" collapsed="false">
      <c r="A29" s="55" t="n">
        <v>2022</v>
      </c>
      <c r="B29" s="2" t="n">
        <f aca="false">SUMIF(RawData!A:A,"=2022",RawData!G:G)</f>
        <v>168000</v>
      </c>
      <c r="C29" s="2" t="n">
        <f aca="false">SUMIF(RawData!A:A,"=2022",RawData!D1:D37)+SUMIF(RawData!A:A,"=2022",RawData!E1:E37)</f>
        <v>2100000</v>
      </c>
      <c r="D29" s="60" t="n">
        <f aca="false">B29/C29</f>
        <v>0.08</v>
      </c>
      <c r="E29" s="59" t="s">
        <v>87</v>
      </c>
      <c r="F29" s="59"/>
    </row>
    <row r="30" customFormat="false" ht="15" hidden="false" customHeight="false" outlineLevel="0" collapsed="false">
      <c r="A30" s="55" t="n">
        <v>2023</v>
      </c>
      <c r="B30" s="2" t="n">
        <f aca="false">SUMIF(RawData!A:A,"=2023",RawData!G:G)</f>
        <v>192000</v>
      </c>
      <c r="C30" s="2" t="n">
        <f aca="false">SUMIF(RawData!A:A,"=2023",RawData!D1:D37)+SUMIF(RawData!A:A,"=2023",RawData!E1:E37)</f>
        <v>2400000</v>
      </c>
      <c r="D30" s="60" t="n">
        <f aca="false">B30/C30</f>
        <v>0.08</v>
      </c>
      <c r="E30" s="59" t="s">
        <v>87</v>
      </c>
    </row>
    <row r="31" customFormat="false" ht="15" hidden="false" customHeight="false" outlineLevel="0" collapsed="false">
      <c r="A31" s="55" t="n">
        <v>2024</v>
      </c>
      <c r="B31" s="2" t="n">
        <f aca="false">SUMIF(RawData!A:A,"=2024",RawData!G:G)</f>
        <v>212000</v>
      </c>
      <c r="C31" s="2" t="n">
        <f aca="false">SUMIF(RawData!A:A,"=2024",RawData!D1:D37)+SUMIF(RawData!A:A,"=2024",RawData!E1:E37)</f>
        <v>2650000</v>
      </c>
      <c r="D31" s="60" t="n">
        <f aca="false">B31/C31</f>
        <v>0.08</v>
      </c>
      <c r="E31" s="59" t="s">
        <v>87</v>
      </c>
    </row>
    <row r="33" customFormat="false" ht="15" hidden="false" customHeight="false" outlineLevel="0" collapsed="false">
      <c r="A33" s="53" t="s">
        <v>92</v>
      </c>
      <c r="B33" s="53"/>
      <c r="C33" s="53"/>
      <c r="D33" s="53"/>
      <c r="E33" s="53"/>
      <c r="F33" s="53"/>
    </row>
    <row r="34" customFormat="false" ht="21.65" hidden="false" customHeight="false" outlineLevel="0" collapsed="false">
      <c r="A34" s="54" t="s">
        <v>0</v>
      </c>
      <c r="B34" s="54" t="s">
        <v>93</v>
      </c>
      <c r="C34" s="54" t="s">
        <v>90</v>
      </c>
      <c r="D34" s="54" t="s">
        <v>91</v>
      </c>
      <c r="E34" s="54" t="s">
        <v>86</v>
      </c>
    </row>
    <row r="35" customFormat="false" ht="15" hidden="false" customHeight="false" outlineLevel="0" collapsed="false">
      <c r="A35" s="55" t="n">
        <v>2022</v>
      </c>
      <c r="B35" s="2" t="n">
        <f aca="false">SUMIF(RawData!A:A,"=2022",RawData!H:H)</f>
        <v>84000</v>
      </c>
      <c r="C35" s="2" t="n">
        <f aca="false">SUMIF(RawData!A:A,"=2022",RawData!D1:D437)+SUMIF(RawData!A:A,"=2022",RawData!E1:E37)</f>
        <v>2100000</v>
      </c>
      <c r="D35" s="60" t="n">
        <f aca="false">B35/C35</f>
        <v>0.04</v>
      </c>
      <c r="E35" s="59" t="s">
        <v>87</v>
      </c>
      <c r="F35" s="59"/>
    </row>
    <row r="36" customFormat="false" ht="15" hidden="false" customHeight="false" outlineLevel="0" collapsed="false">
      <c r="A36" s="55" t="n">
        <v>2023</v>
      </c>
      <c r="B36" s="2" t="n">
        <f aca="false">SUMIF(RawData!A:A,"=2023",RawData!H:H)</f>
        <v>96000</v>
      </c>
      <c r="C36" s="2" t="n">
        <f aca="false">SUMIF(RawData!A:A,"=2023",RawData!D1:D37)+SUMIF(RawData!A:A,"=2023",RawData!E1:E437)</f>
        <v>2400000</v>
      </c>
      <c r="D36" s="60" t="n">
        <f aca="false">B36/C36</f>
        <v>0.04</v>
      </c>
      <c r="E36" s="59" t="s">
        <v>87</v>
      </c>
    </row>
    <row r="37" customFormat="false" ht="15" hidden="false" customHeight="false" outlineLevel="0" collapsed="false">
      <c r="A37" s="55" t="n">
        <v>2024</v>
      </c>
      <c r="B37" s="2" t="n">
        <f aca="false">SUMIF(RawData!A:A,"=2024",RawData!H:H)</f>
        <v>106000</v>
      </c>
      <c r="C37" s="2" t="n">
        <f aca="false">SUMIF(RawData!A:A,"=2024",RawData!D1:D437)+SUMIF(RawData!A:A,"=2024",RawData!E1:E37)</f>
        <v>2650000</v>
      </c>
      <c r="D37" s="60" t="n">
        <f aca="false">B37/C37</f>
        <v>0.04</v>
      </c>
      <c r="E37" s="59" t="s">
        <v>87</v>
      </c>
    </row>
  </sheetData>
  <mergeCells count="8">
    <mergeCell ref="A1:Q1"/>
    <mergeCell ref="A2:Q2"/>
    <mergeCell ref="A4:N4"/>
    <mergeCell ref="A10:N10"/>
    <mergeCell ref="A16:N16"/>
    <mergeCell ref="A21:F21"/>
    <mergeCell ref="A27:F27"/>
    <mergeCell ref="A33:F3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0" ySplit="4" topLeftCell="A5" activePane="bottomLeft" state="frozen"/>
      <selection pane="topLeft" activeCell="A1" activeCellId="0" sqref="A1"/>
      <selection pane="bottomLeft" activeCell="P12" activeCellId="0" sqref="P1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0" width="20.02"/>
    <col collapsed="false" customWidth="false" hidden="false" outlineLevel="0" max="14" min="2" style="10" width="11.53"/>
    <col collapsed="false" customWidth="true" hidden="false" outlineLevel="0" max="15" min="15" style="10" width="12.72"/>
    <col collapsed="false" customWidth="true" hidden="false" outlineLevel="0" max="16" min="16" style="10" width="19.19"/>
    <col collapsed="false" customWidth="true" hidden="false" outlineLevel="0" max="17" min="17" style="2" width="50.86"/>
  </cols>
  <sheetData>
    <row r="1" s="63" customFormat="true" ht="27.1" hidden="false" customHeight="true" outlineLevel="0" collapsed="false">
      <c r="A1" s="61" t="s">
        <v>94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</row>
    <row r="2" customFormat="false" ht="13.8" hidden="false" customHeight="false" outlineLevel="0" collapsed="false">
      <c r="A2" s="64" t="s">
        <v>95</v>
      </c>
    </row>
    <row r="4" s="65" customFormat="true" ht="21.85" hidden="false" customHeight="true" outlineLevel="0" collapsed="false">
      <c r="A4" s="65" t="s">
        <v>96</v>
      </c>
      <c r="B4" s="65" t="s">
        <v>13</v>
      </c>
      <c r="C4" s="65" t="s">
        <v>97</v>
      </c>
      <c r="D4" s="65" t="s">
        <v>15</v>
      </c>
      <c r="E4" s="65" t="s">
        <v>16</v>
      </c>
      <c r="F4" s="65" t="s">
        <v>98</v>
      </c>
      <c r="G4" s="65" t="s">
        <v>18</v>
      </c>
      <c r="H4" s="65" t="s">
        <v>19</v>
      </c>
      <c r="I4" s="65" t="s">
        <v>20</v>
      </c>
      <c r="J4" s="65" t="s">
        <v>21</v>
      </c>
      <c r="K4" s="65" t="s">
        <v>22</v>
      </c>
      <c r="L4" s="65" t="s">
        <v>23</v>
      </c>
      <c r="M4" s="65" t="s">
        <v>24</v>
      </c>
      <c r="N4" s="65" t="s">
        <v>99</v>
      </c>
      <c r="O4" s="65" t="s">
        <v>100</v>
      </c>
      <c r="P4" s="65" t="s">
        <v>101</v>
      </c>
      <c r="Q4" s="65" t="s">
        <v>102</v>
      </c>
    </row>
    <row r="5" customFormat="false" ht="13.8" hidden="false" customHeight="false" outlineLevel="0" collapsed="false">
      <c r="A5" s="66" t="s">
        <v>60</v>
      </c>
      <c r="B5" s="67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8"/>
      <c r="R5" s="68"/>
      <c r="S5" s="68"/>
      <c r="T5" s="68"/>
      <c r="U5" s="68"/>
      <c r="V5" s="68"/>
      <c r="W5" s="68"/>
      <c r="X5" s="68"/>
    </row>
    <row r="6" customFormat="false" ht="46.95" hidden="false" customHeight="false" outlineLevel="0" collapsed="false">
      <c r="A6" s="69" t="s">
        <v>103</v>
      </c>
      <c r="B6" s="70" t="n">
        <f aca="false">RawData!D26-RawData!I26</f>
        <v>-12000</v>
      </c>
      <c r="C6" s="70" t="n">
        <f aca="false">RawData!D27-RawData!I27</f>
        <v>-13000</v>
      </c>
      <c r="D6" s="70" t="n">
        <f aca="false">RawData!D28-RawData!I28</f>
        <v>-15000</v>
      </c>
      <c r="E6" s="70" t="n">
        <f aca="false">RawData!D29-RawData!I29</f>
        <v>-18000</v>
      </c>
      <c r="F6" s="70" t="n">
        <f aca="false">RawData!D30-RawData!I30</f>
        <v>-19000</v>
      </c>
      <c r="G6" s="70" t="n">
        <f aca="false">RawData!D31-RawData!I31</f>
        <v>-19000</v>
      </c>
      <c r="H6" s="70" t="n">
        <f aca="false">RawData!D32-RawData!I32</f>
        <v>-19000</v>
      </c>
      <c r="I6" s="70" t="n">
        <f aca="false">RawData!D33-RawData!I33</f>
        <v>-18000</v>
      </c>
      <c r="J6" s="70" t="n">
        <f aca="false">RawData!D34-RawData!I34</f>
        <v>-17000</v>
      </c>
      <c r="K6" s="70" t="n">
        <f aca="false">RawData!D35-RawData!I35</f>
        <v>-17000</v>
      </c>
      <c r="L6" s="70" t="n">
        <f aca="false">RawData!D36-RawData!I36</f>
        <v>-16000</v>
      </c>
      <c r="M6" s="70" t="n">
        <f aca="false">RawData!D37-RawData!I37</f>
        <v>-17000</v>
      </c>
      <c r="N6" s="70" t="n">
        <f aca="false">SUM(B6:M6)</f>
        <v>-200000</v>
      </c>
      <c r="O6" s="70" t="n">
        <f aca="false">SUMIF(RawData!A:A,"=2024",RawData!D:D)-SUMIF(RawData!A:A,"=2024",RawData!I:I)</f>
        <v>-200000</v>
      </c>
      <c r="P6" s="71" t="n">
        <f aca="false">IF(SUMIF(RawData!A:A,"=2024",RawData!I:I)=0,0,O6/SUMIF(RawData!A:A,"=2024",RawData!I:I))</f>
        <v>-0.0862068965517241</v>
      </c>
      <c r="Q6" s="72" t="s">
        <v>104</v>
      </c>
    </row>
    <row r="7" customFormat="false" ht="35.2" hidden="false" customHeight="false" outlineLevel="0" collapsed="false">
      <c r="A7" s="69" t="s">
        <v>105</v>
      </c>
      <c r="B7" s="70" t="n">
        <f aca="false">RawData!E26-RawData!J26</f>
        <v>-4100</v>
      </c>
      <c r="C7" s="70" t="n">
        <f aca="false">RawData!$E27-RawData!$J27</f>
        <v>-4100</v>
      </c>
      <c r="D7" s="70" t="n">
        <f aca="false">RawData!$E28-RawData!$J28</f>
        <v>-4100</v>
      </c>
      <c r="E7" s="70" t="n">
        <f aca="false">RawData!$E29-RawData!$J29</f>
        <v>-4100</v>
      </c>
      <c r="F7" s="70" t="n">
        <f aca="false">RawData!$E30-RawData!$J30</f>
        <v>-4100</v>
      </c>
      <c r="G7" s="70" t="n">
        <f aca="false">RawData!$E31-RawData!$J31</f>
        <v>-4100</v>
      </c>
      <c r="H7" s="70" t="n">
        <f aca="false">RawData!$E32-RawData!$J32</f>
        <v>-4100</v>
      </c>
      <c r="I7" s="70" t="n">
        <f aca="false">RawData!$E33-RawData!$J33</f>
        <v>-4100</v>
      </c>
      <c r="J7" s="70" t="n">
        <f aca="false">RawData!$E34-RawData!$J34</f>
        <v>-4100</v>
      </c>
      <c r="K7" s="70" t="n">
        <f aca="false">RawData!$E35-RawData!$J35</f>
        <v>-4100</v>
      </c>
      <c r="L7" s="70" t="n">
        <f aca="false">RawData!$E36-RawData!$J36</f>
        <v>-4100</v>
      </c>
      <c r="M7" s="70" t="n">
        <f aca="false">RawData!$E37-RawData!$J37</f>
        <v>-4900</v>
      </c>
      <c r="N7" s="70" t="n">
        <f aca="false">SUM(B7:M7)</f>
        <v>-50000</v>
      </c>
      <c r="O7" s="70" t="n">
        <f aca="false">SUMIF(RawData!A:A,"=2024",RawData!E:E)-SUMIF(RawData!A:A,"=2024",RawData!J:J)</f>
        <v>-50000</v>
      </c>
      <c r="P7" s="71" t="n">
        <f aca="false">IF(SUMIF(RawData!A:A,"=2024",RawData!J:J)=0,0,O7/SUMIF(RawData!A:A,"=2024",RawData!J:J))</f>
        <v>-0.0862068965517241</v>
      </c>
      <c r="Q7" s="72" t="s">
        <v>106</v>
      </c>
    </row>
    <row r="8" s="68" customFormat="true" ht="35.2" hidden="false" customHeight="false" outlineLevel="0" collapsed="false">
      <c r="A8" s="66" t="s">
        <v>107</v>
      </c>
      <c r="B8" s="73" t="n">
        <f aca="false">B6+B7</f>
        <v>-16100</v>
      </c>
      <c r="C8" s="73" t="n">
        <f aca="false">C6+C7</f>
        <v>-17100</v>
      </c>
      <c r="D8" s="73" t="n">
        <f aca="false">D6+D7</f>
        <v>-19100</v>
      </c>
      <c r="E8" s="73" t="n">
        <f aca="false">E6+E7</f>
        <v>-22100</v>
      </c>
      <c r="F8" s="73" t="n">
        <f aca="false">F6+F7</f>
        <v>-23100</v>
      </c>
      <c r="G8" s="73" t="n">
        <f aca="false">G6+G7</f>
        <v>-23100</v>
      </c>
      <c r="H8" s="73" t="n">
        <f aca="false">H6+H7</f>
        <v>-23100</v>
      </c>
      <c r="I8" s="73" t="n">
        <f aca="false">I6+I7</f>
        <v>-22100</v>
      </c>
      <c r="J8" s="73" t="n">
        <f aca="false">J6+J7</f>
        <v>-21100</v>
      </c>
      <c r="K8" s="73" t="n">
        <f aca="false">K6+K7</f>
        <v>-21100</v>
      </c>
      <c r="L8" s="73" t="n">
        <f aca="false">L6+L7</f>
        <v>-20100</v>
      </c>
      <c r="M8" s="73" t="n">
        <f aca="false">M6+M7</f>
        <v>-21900</v>
      </c>
      <c r="N8" s="73" t="n">
        <f aca="false">SUM(B8:M8)</f>
        <v>-250000</v>
      </c>
      <c r="O8" s="73" t="n">
        <f aca="false">SUMIF(RawData!A:A,"=2024",RawData!E:E)-SUMIF(RawData!A:A,"=2024",RawData!J:J)+SUMIF(RawData!A:A,"=2024",RawData!D:D)-SUMIF(RawData!A:A,"=2024",RawData!I:I)</f>
        <v>-250000</v>
      </c>
      <c r="P8" s="74" t="n">
        <f aca="false">O8/(SUMIF(RawData!A:A,"=2024",RawData!J:J)+SUMIF(RawData!A:A,"=2024",RawData!I:I))</f>
        <v>-0.0862068965517241</v>
      </c>
      <c r="Q8" s="72" t="s">
        <v>108</v>
      </c>
      <c r="R8" s="2"/>
      <c r="S8" s="2"/>
      <c r="T8" s="2"/>
      <c r="U8" s="2"/>
      <c r="V8" s="2"/>
      <c r="W8" s="2"/>
      <c r="X8" s="2"/>
    </row>
    <row r="9" customFormat="false" ht="13.8" hidden="false" customHeight="false" outlineLevel="0" collapsed="false">
      <c r="R9" s="2"/>
      <c r="S9" s="2"/>
      <c r="T9" s="2"/>
      <c r="U9" s="2"/>
      <c r="V9" s="2"/>
      <c r="W9" s="2"/>
      <c r="X9" s="2"/>
    </row>
    <row r="11" customFormat="false" ht="13.8" hidden="false" customHeight="false" outlineLevel="0" collapsed="false">
      <c r="A11" s="66" t="s">
        <v>109</v>
      </c>
      <c r="B11" s="67"/>
      <c r="C11" s="67"/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8"/>
      <c r="R11" s="68"/>
      <c r="S11" s="68"/>
      <c r="T11" s="68"/>
      <c r="U11" s="68"/>
      <c r="V11" s="68"/>
      <c r="W11" s="68"/>
      <c r="X11" s="68"/>
    </row>
    <row r="12" customFormat="false" ht="46.95" hidden="false" customHeight="false" outlineLevel="0" collapsed="false">
      <c r="A12" s="69" t="s">
        <v>110</v>
      </c>
      <c r="B12" s="75" t="n">
        <f aca="false">RawData!K26-RawData!F26</f>
        <v>9700</v>
      </c>
      <c r="C12" s="75" t="n">
        <f aca="false">RawData!K27-RawData!F27</f>
        <v>10500</v>
      </c>
      <c r="D12" s="75" t="n">
        <f aca="false">RawData!K28-RawData!F28</f>
        <v>12200</v>
      </c>
      <c r="E12" s="75" t="n">
        <f aca="false">RawData!K29-RawData!F29</f>
        <v>14600</v>
      </c>
      <c r="F12" s="75" t="n">
        <f aca="false">RawData!K30-RawData!F30</f>
        <v>15500</v>
      </c>
      <c r="G12" s="75" t="n">
        <f aca="false">RawData!K31-RawData!F31</f>
        <v>15500</v>
      </c>
      <c r="H12" s="75" t="n">
        <f aca="false">RawData!K32-RawData!F32</f>
        <v>15500</v>
      </c>
      <c r="I12" s="75" t="n">
        <f aca="false">RawData!K33-RawData!F33</f>
        <v>14600</v>
      </c>
      <c r="J12" s="75" t="n">
        <f aca="false">RawData!K34-RawData!F34</f>
        <v>13800</v>
      </c>
      <c r="K12" s="75" t="n">
        <f aca="false">RawData!K35-RawData!F35</f>
        <v>13800</v>
      </c>
      <c r="L12" s="75" t="n">
        <f aca="false">RawData!K36-RawData!F36</f>
        <v>13000</v>
      </c>
      <c r="M12" s="75" t="n">
        <f aca="false">RawData!K37-RawData!F37</f>
        <v>13800</v>
      </c>
      <c r="N12" s="70" t="n">
        <f aca="false">SUM(B12:M12)</f>
        <v>162500</v>
      </c>
      <c r="O12" s="70" t="n">
        <f aca="false">SUMIF(RawData!A:A,"=2024",RawData!K:K)-SUMIF(RawData!A:A,"=2024",RawData!F:F)</f>
        <v>162500</v>
      </c>
      <c r="P12" s="71" t="n">
        <f aca="false">IF(SUMIF(RawData!A:A,"=2024",RawData!K:K)=0,0,O12/SUMIF(RawData!A:A,"=2024",RawData!K:K))</f>
        <v>0.0862068965517241</v>
      </c>
      <c r="Q12" s="72" t="s">
        <v>111</v>
      </c>
      <c r="S12" s="76"/>
    </row>
    <row r="13" customFormat="false" ht="24.05" hidden="false" customHeight="false" outlineLevel="0" collapsed="false">
      <c r="A13" s="69" t="s">
        <v>112</v>
      </c>
      <c r="B13" s="75" t="n">
        <f aca="false">RawData!L26-RawData!G26</f>
        <v>1200</v>
      </c>
      <c r="C13" s="75" t="n">
        <f aca="false">RawData!L27-RawData!G27</f>
        <v>1300</v>
      </c>
      <c r="D13" s="75" t="n">
        <f aca="false">RawData!L28-RawData!G28</f>
        <v>1500</v>
      </c>
      <c r="E13" s="75" t="n">
        <f aca="false">RawData!L29-RawData!G29</f>
        <v>1800</v>
      </c>
      <c r="F13" s="75" t="n">
        <f aca="false">RawData!L30-RawData!G30</f>
        <v>1900</v>
      </c>
      <c r="G13" s="75" t="n">
        <f aca="false">RawData!L31-RawData!G31</f>
        <v>1900</v>
      </c>
      <c r="H13" s="75" t="n">
        <f aca="false">RawData!L32-RawData!G32</f>
        <v>1900</v>
      </c>
      <c r="I13" s="75" t="n">
        <f aca="false">RawData!L33-RawData!G33</f>
        <v>1800</v>
      </c>
      <c r="J13" s="75" t="n">
        <f aca="false">RawData!L34-RawData!G34</f>
        <v>1700</v>
      </c>
      <c r="K13" s="75" t="n">
        <f aca="false">RawData!L35-RawData!G35</f>
        <v>1700</v>
      </c>
      <c r="L13" s="75" t="n">
        <f aca="false">RawData!L36-RawData!G36</f>
        <v>1600</v>
      </c>
      <c r="M13" s="75" t="n">
        <f aca="false">RawData!L37-RawData!G37</f>
        <v>1700</v>
      </c>
      <c r="N13" s="70" t="n">
        <f aca="false">SUM(B13:M13)</f>
        <v>20000</v>
      </c>
      <c r="O13" s="70" t="n">
        <f aca="false">SUMIF(RawData!A:A,"=2024",RawData!L:L)-SUMIF(RawData!A:A,"=2024",RawData!G:G)</f>
        <v>20000</v>
      </c>
      <c r="P13" s="71" t="n">
        <f aca="false">IF(SUMIF(RawData!A:A,"=2024",RawData!L:L)=0,0,O13/SUMIF(RawData!A:A,"=2024",RawData!L:L))</f>
        <v>0.0862068965517241</v>
      </c>
      <c r="Q13" s="72" t="s">
        <v>113</v>
      </c>
    </row>
    <row r="14" customFormat="false" ht="24.05" hidden="false" customHeight="false" outlineLevel="0" collapsed="false">
      <c r="A14" s="69" t="s">
        <v>114</v>
      </c>
      <c r="B14" s="75" t="n">
        <f aca="false">RawData!M26-RawData!H26</f>
        <v>600</v>
      </c>
      <c r="C14" s="75" t="n">
        <f aca="false">RawData!M27-RawData!H27</f>
        <v>600</v>
      </c>
      <c r="D14" s="75" t="n">
        <f aca="false">RawData!M28-RawData!H28</f>
        <v>700</v>
      </c>
      <c r="E14" s="75" t="n">
        <f aca="false">RawData!M29-RawData!H29</f>
        <v>900</v>
      </c>
      <c r="F14" s="75" t="n">
        <f aca="false">RawData!M30-RawData!H30</f>
        <v>900</v>
      </c>
      <c r="G14" s="75" t="n">
        <f aca="false">RawData!M31-RawData!H31</f>
        <v>900</v>
      </c>
      <c r="H14" s="75" t="n">
        <f aca="false">RawData!M32-RawData!H32</f>
        <v>900</v>
      </c>
      <c r="I14" s="75" t="n">
        <f aca="false">RawData!M33-RawData!H33</f>
        <v>900</v>
      </c>
      <c r="J14" s="75" t="n">
        <f aca="false">RawData!M34-RawData!H34</f>
        <v>900</v>
      </c>
      <c r="K14" s="75" t="n">
        <f aca="false">RawData!M35-RawData!H35</f>
        <v>900</v>
      </c>
      <c r="L14" s="75" t="n">
        <f aca="false">RawData!M36-RawData!H36</f>
        <v>800</v>
      </c>
      <c r="M14" s="75" t="n">
        <f aca="false">RawData!M37-RawData!H37</f>
        <v>1000</v>
      </c>
      <c r="N14" s="70" t="n">
        <f aca="false">SUM(B14:M14)</f>
        <v>10000</v>
      </c>
      <c r="O14" s="70" t="n">
        <f aca="false">SUMIF(RawData!A:A,"=2024",RawData!M:M)-SUMIF(RawData!A:A,"=2024",RawData!H:H)</f>
        <v>10000</v>
      </c>
      <c r="P14" s="71" t="n">
        <f aca="false">IF(SUMIF(RawData!A:A,"=2024",RawData!M:M)=0,0,O14/SUMIF(RawData!A:A,"=2024",RawData!M:M))</f>
        <v>0.0862068965517241</v>
      </c>
      <c r="Q14" s="72" t="s">
        <v>115</v>
      </c>
    </row>
    <row r="15" customFormat="false" ht="13.8" hidden="false" customHeight="false" outlineLevel="0" collapsed="false">
      <c r="A15" s="77" t="s">
        <v>61</v>
      </c>
      <c r="B15" s="73" t="n">
        <f aca="false">B13+B14+B12</f>
        <v>11500</v>
      </c>
      <c r="C15" s="73" t="n">
        <f aca="false">C13+C14+C12</f>
        <v>12400</v>
      </c>
      <c r="D15" s="73" t="n">
        <f aca="false">D13+D14+D12</f>
        <v>14400</v>
      </c>
      <c r="E15" s="73" t="n">
        <f aca="false">E13+E14+E12</f>
        <v>17300</v>
      </c>
      <c r="F15" s="73" t="n">
        <f aca="false">F13+F14+F12</f>
        <v>18300</v>
      </c>
      <c r="G15" s="73" t="n">
        <f aca="false">G13+G14+G12</f>
        <v>18300</v>
      </c>
      <c r="H15" s="73" t="n">
        <f aca="false">H13+H14+H12</f>
        <v>18300</v>
      </c>
      <c r="I15" s="73" t="n">
        <f aca="false">I13+I14+I12</f>
        <v>17300</v>
      </c>
      <c r="J15" s="73" t="n">
        <f aca="false">J13+J14+J12</f>
        <v>16400</v>
      </c>
      <c r="K15" s="73" t="n">
        <f aca="false">K13+K14+K12</f>
        <v>16400</v>
      </c>
      <c r="L15" s="73" t="n">
        <f aca="false">L13+L14+L12</f>
        <v>15400</v>
      </c>
      <c r="M15" s="73" t="n">
        <f aca="false">M13+M14+M12</f>
        <v>16500</v>
      </c>
      <c r="N15" s="73" t="n">
        <f aca="false">SUM(B15:M15)</f>
        <v>192500</v>
      </c>
      <c r="O15" s="73" t="n">
        <f aca="false">SUMIF(RawData!A:A,"=2024",RawData!K:K)-SUMIF(RawData!A:A,"=2024",RawData!F:F)+SUMIF(RawData!A:A,"=2024",RawData!L:L)-SUMIF(RawData!A:A,"=2024",RawData!G:G)+SUMIF(RawData!A:A,"=2024",RawData!M:M)-SUMIF(RawData!A:A,"=2024",RawData!H:H)</f>
        <v>192500</v>
      </c>
      <c r="P15" s="74" t="n">
        <f aca="false">O15/(SUMIF(RawData!A:A,"=2024",RawData!K:K)+SUMIF(RawData!A:A,"=2024",RawData!L:L)+SUMIF(RawData!A:A,"=2024",RawData!M:M))</f>
        <v>0.0862068965517241</v>
      </c>
      <c r="Q15" s="78"/>
    </row>
    <row r="16" customFormat="false" ht="13.8" hidden="false" customHeight="false" outlineLevel="0" collapsed="false">
      <c r="Q16" s="79"/>
    </row>
    <row r="17" customFormat="false" ht="35.2" hidden="false" customHeight="false" outlineLevel="0" collapsed="false">
      <c r="A17" s="80" t="s">
        <v>62</v>
      </c>
      <c r="B17" s="73" t="n">
        <f aca="false">(RawData!D26+RawData!E26-RawData!F26-RawData!G26-RawData!H26)-(RawData!I26+RawData!J26-RawData!K26-RawData!L26-RawData!M26)</f>
        <v>-4600</v>
      </c>
      <c r="C17" s="73" t="n">
        <f aca="false">(RawData!D27+RawData!E27-RawData!F27-RawData!G27-RawData!H27)-(RawData!I27+RawData!J27-RawData!K27-RawData!L27-RawData!M27)</f>
        <v>-4700</v>
      </c>
      <c r="D17" s="73" t="n">
        <f aca="false">(RawData!D28+RawData!E28-RawData!F28-RawData!G28-RawData!H28)-(RawData!I28+RawData!J28-RawData!K28-RawData!L28-RawData!M28)</f>
        <v>-4700</v>
      </c>
      <c r="E17" s="73" t="n">
        <f aca="false">(RawData!D29 + RawData!E29 - RawData!F29 - RawData!G29 - RawData!H29)  - (RawData!I29 + RawData!J29 - RawData!K29 - RawData!L29 - RawData!M29)</f>
        <v>-4800</v>
      </c>
      <c r="F17" s="73" t="n">
        <f aca="false">(RawData!D30 + RawData!E30 - RawData!F30 - RawData!G30 - RawData!H30)  - (RawData!I30 + RawData!J30 - RawData!K30 - RawData!L30 - RawData!M30)</f>
        <v>-4800</v>
      </c>
      <c r="G17" s="73" t="n">
        <f aca="false">(RawData!D31 + RawData!E31 - RawData!F31 - RawData!G31 - RawData!H31)  - (RawData!I31 + RawData!J31 - RawData!K31 - RawData!L31 - RawData!M31)</f>
        <v>-4800</v>
      </c>
      <c r="H17" s="73" t="n">
        <f aca="false">(RawData!D32 + RawData!E32 - RawData!F32 - RawData!G32 - RawData!H32)  - (RawData!I32 + RawData!J32 - RawData!K32 - RawData!L32 - RawData!M32)</f>
        <v>-4800</v>
      </c>
      <c r="I17" s="73" t="n">
        <f aca="false">(RawData!D33 + RawData!E33 - RawData!F33 - RawData!G33 - RawData!H33)  - (RawData!I33 + RawData!J33 - RawData!K33 - RawData!L33 - RawData!M33)</f>
        <v>-4800</v>
      </c>
      <c r="J17" s="73" t="n">
        <f aca="false">(RawData!D34 + RawData!E34 - RawData!F34 - RawData!G34 - RawData!H34)  - (RawData!I34 + RawData!J34 - RawData!K34 - RawData!L34 - RawData!M34)</f>
        <v>-4700</v>
      </c>
      <c r="K17" s="73" t="n">
        <f aca="false">(RawData!D35 + RawData!E35 - RawData!F35 - RawData!G35 - RawData!H35)  - (RawData!I35 + RawData!J35 - RawData!K35 - RawData!L35 - RawData!M35)</f>
        <v>-4700</v>
      </c>
      <c r="L17" s="73" t="n">
        <f aca="false">(RawData!D36 + RawData!E36 - RawData!F36 - RawData!G36 - RawData!H36)  - (RawData!I36 + RawData!J36 - RawData!K36 - RawData!L36 - RawData!M36)</f>
        <v>-4700</v>
      </c>
      <c r="M17" s="73" t="n">
        <f aca="false">(RawData!D37 + RawData!E37 - RawData!F37 - RawData!G37 - RawData!H37)  - (RawData!I37 + RawData!J37 - RawData!K37 - RawData!L37 - RawData!M37)</f>
        <v>-5400</v>
      </c>
      <c r="N17" s="73" t="n">
        <f aca="false">SUM(B17:M17)</f>
        <v>-57500</v>
      </c>
      <c r="O17" s="73" t="n">
        <f aca="false">O8+O15</f>
        <v>-57500</v>
      </c>
      <c r="P17" s="74" t="n">
        <f aca="false">O17/(SUMIF(RawData!A:A,"=2024",RawData!I:I)+SUMIF(RawData!A:A,"=2024",RawData!J:J)-SUMIF(RawData!A:A,"=2024",RawData!L:L)-SUMIF(RawData!A:A,"=2024",RawData!M:M)-SUMIF(RawData!A:A,"=2024",RawData!K:K))</f>
        <v>-0.0862068965517241</v>
      </c>
      <c r="Q17" s="81" t="s">
        <v>116</v>
      </c>
    </row>
    <row r="18" customFormat="false" ht="13.8" hidden="false" customHeight="false" outlineLevel="0" collapsed="false">
      <c r="A18" s="10" t="s">
        <v>63</v>
      </c>
      <c r="B18" s="74" t="n">
        <f aca="false">IF((RawData!D26+RawData!E26)=0,0,(RawData!D26+RawData!E26-RawData!F26-RawData!G26-RawData!H26)/(RawData!D26+RawData!E26))-IF((RawData!I26+RawData!J26)=0,0,(RawData!I26+RawData!J26-RawData!K26-RawData!L26-RawData!M26)/(RawData!I26+RawData!J26))</f>
        <v>-3.57837417347406E-005</v>
      </c>
      <c r="C18" s="74" t="n">
        <f aca="false">IF((RawData!D27+RawData!E27)=0,0,(RawData!D27+RawData!E27-RawData!F27-RawData!G27-RawData!H27)/(RawData!D27+RawData!E27)) - IF((RawData!I27+RawData!J27)=0,0,(RawData!I27+RawData!J27-RawData!K27-RawData!L27-RawData!M27)/(RawData!I27+RawData!J27))</f>
        <v>-0.000341371335846497</v>
      </c>
      <c r="D18" s="74" t="n">
        <f aca="false">IF((RawData!D28+RawData!E28)=0,0,(RawData!D28+RawData!E28-RawData!F28-RawData!G28-RawData!H28)/(RawData!D28+RawData!E28)) - IF((RawData!I28+RawData!J28)=0,0,(RawData!I28+RawData!J28-RawData!K28-RawData!L28-RawData!M28)/(RawData!I28+RawData!J28))</f>
        <v>4.13979123055075E-005</v>
      </c>
      <c r="E18" s="74" t="n">
        <f aca="false">IF((RawData!D29+RawData!E29)=0,0,(RawData!D29+RawData!E29-RawData!F29-RawData!G29-RawData!H29)/(RawData!D29+RawData!E29)) - IF((RawData!I29+RawData!J29)=0,0,(RawData!I29+RawData!J29-RawData!K29-RawData!L29-RawData!M29)/(RawData!I29+RawData!J29))</f>
        <v>0.000131416701838</v>
      </c>
      <c r="F18" s="74" t="n">
        <f aca="false">IF((RawData!D30+RawData!E30)=0,0,(RawData!D30+RawData!E30-RawData!F30-RawData!G30-RawData!H30)/(RawData!D30+RawData!E30)) - IF((RawData!I30+RawData!J30)=0,0,(RawData!I30+RawData!J30-RawData!K30-RawData!L30-RawData!M30)/(RawData!I30+RawData!J30))</f>
        <v>0.000268211402712298</v>
      </c>
      <c r="G18" s="74" t="n">
        <f aca="false">IF((RawData!D31+RawData!E31)=0,0,(RawData!D31+RawData!E31-RawData!F31-RawData!G31-RawData!H31)/(RawData!D31+RawData!E31)) - IF((RawData!I31+RawData!J31)=0,0,(RawData!I31+RawData!J31-RawData!K31-RawData!L31-RawData!M31)/(RawData!I31+RawData!J31))</f>
        <v>0.000268211402712298</v>
      </c>
      <c r="H18" s="74" t="n">
        <f aca="false">IF((RawData!D32+RawData!E32)=0,0,(RawData!D32+RawData!E32-RawData!F32-RawData!G32-RawData!H32)/(RawData!D32+RawData!E32)) - IF((RawData!I32+RawData!J32)=0,0,(RawData!I32+RawData!J32-RawData!K32-RawData!L32-RawData!M32)/(RawData!I32+RawData!J32))</f>
        <v>0.000268211402712298</v>
      </c>
      <c r="I18" s="74" t="n">
        <f aca="false">IF((RawData!D33+RawData!E33)=0,0,(RawData!D33+RawData!E33-RawData!F33-RawData!G33-RawData!H33)/(RawData!D33+RawData!E33)) - IF((RawData!I33+RawData!J33)=0,0,(RawData!I33+RawData!J33-RawData!K33-RawData!L33-RawData!M33)/(RawData!I33+RawData!J33))</f>
        <v>0.000131416701838</v>
      </c>
      <c r="J18" s="74" t="n">
        <f aca="false">IF((RawData!D34+RawData!E34)=0,0,(RawData!D34+RawData!E34-RawData!F34-RawData!G34-RawData!H34)/(RawData!D34+RawData!E34)) - IF((RawData!I34+RawData!J34)=0,0,(RawData!I34+RawData!J34-RawData!K34-RawData!L34-RawData!M34)/(RawData!I34+RawData!J34))</f>
        <v>0.000388816885761895</v>
      </c>
      <c r="K18" s="74" t="n">
        <f aca="false">IF((RawData!D35+RawData!E35)=0,0,(RawData!D35+RawData!E35-RawData!F35-RawData!G35-RawData!H35)/(RawData!D35+RawData!E35)) - IF((RawData!I35+RawData!J35)=0,0,(RawData!I35+RawData!J35-RawData!K35-RawData!L35-RawData!M35)/(RawData!I35+RawData!J35))</f>
        <v>0.000388816885761895</v>
      </c>
      <c r="L18" s="74" t="n">
        <f aca="false">IF((RawData!D36+RawData!E36)=0,0,(RawData!D36+RawData!E36-RawData!F36-RawData!G36-RawData!H36)/(RawData!D36+RawData!E36)) - IF((RawData!I36+RawData!J36)=0,0,(RawData!I36+RawData!J36-RawData!K36-RawData!L36-RawData!M36)/(RawData!I36+RawData!J36))</f>
        <v>0.000203768130664361</v>
      </c>
      <c r="M18" s="74" t="n">
        <f aca="false">IF((RawData!D37+RawData!E37)=0,0,(RawData!D37+RawData!E37-RawData!F37-RawData!G37-RawData!H37)/(RawData!D37+RawData!E37)) - IF((RawData!I37+RawData!J37)=0,0,(RawData!I37+RawData!J37-RawData!K37-RawData!L37-RawData!M37)/(RawData!I37+RawData!J37))</f>
        <v>-0.00188175361645268</v>
      </c>
      <c r="N18" s="74" t="n">
        <f aca="false">(SUMIF(RawData!A:A,2024,RawData!D:D)+SUMIF(RawData!A:A,2024,RawData!E:E)-SUMIF(RawData!A:A,2024,RawData!F:F)-SUMIF(RawData!A:A,2024,RawData!G:G)-SUMIF(RawData!A:A,2024,RawData!H:H))/(SUMIF(RawData!A:A,2024,RawData!D:D)+SUMIF(RawData!A:A,2024,RawData!E:E))-((SUMIF(RawData!A:A,2024,RawData!I:I)+SUMIF(RawData!A:A,2024,RawData!J:J)-SUMIF(RawData!A:A,2024,RawData!K:K)-SUMIF(RawData!A:A,2024,RawData!L:L)-SUMIF(RawData!A:A,2024,RawData!M:M))/(SUMIF(RawData!A:A,2024,RawData!I:I)+SUMIF(RawData!A:A,2024,RawData!J:J)))</f>
        <v>0</v>
      </c>
      <c r="O18" s="74"/>
      <c r="P18" s="74"/>
      <c r="Q18" s="82"/>
    </row>
    <row r="19" customFormat="false" ht="13.8" hidden="false" customHeight="false" outlineLevel="0" collapsed="false">
      <c r="A19" s="10" t="s">
        <v>117</v>
      </c>
      <c r="B19" s="10" t="n">
        <f aca="false">B17-B15-B8</f>
        <v>0</v>
      </c>
      <c r="C19" s="10" t="n">
        <f aca="false">C17-C15-C8</f>
        <v>0</v>
      </c>
      <c r="D19" s="10" t="n">
        <f aca="false">D17-D15-D8</f>
        <v>0</v>
      </c>
      <c r="E19" s="10" t="n">
        <f aca="false">E17-E15-E8</f>
        <v>0</v>
      </c>
      <c r="F19" s="10" t="n">
        <f aca="false">F17-F15-F8</f>
        <v>0</v>
      </c>
      <c r="G19" s="10" t="n">
        <f aca="false">G17-G15-G8</f>
        <v>0</v>
      </c>
      <c r="H19" s="10" t="n">
        <f aca="false">H17-H15-H8</f>
        <v>0</v>
      </c>
      <c r="I19" s="10" t="n">
        <f aca="false">I17-I15-I8</f>
        <v>0</v>
      </c>
      <c r="J19" s="10" t="n">
        <f aca="false">J17-J15-J8</f>
        <v>0</v>
      </c>
      <c r="K19" s="10" t="n">
        <f aca="false">K17-K15-K8</f>
        <v>0</v>
      </c>
      <c r="L19" s="10" t="n">
        <f aca="false">L17-L15-L8</f>
        <v>0</v>
      </c>
      <c r="M19" s="10" t="n">
        <f aca="false">M17-M15-M8</f>
        <v>0</v>
      </c>
      <c r="N19" s="10" t="n">
        <f aca="false">N17-N15-N8</f>
        <v>0</v>
      </c>
      <c r="O19" s="10" t="n">
        <f aca="false">O17-O15-O8</f>
        <v>0</v>
      </c>
      <c r="P19" s="83"/>
      <c r="R19" s="2" t="s">
        <v>118</v>
      </c>
      <c r="S19" s="2"/>
      <c r="T19" s="2"/>
      <c r="U19" s="2"/>
    </row>
    <row r="20" customFormat="false" ht="13.8" hidden="false" customHeight="false" outlineLevel="0" collapsed="false">
      <c r="Q20" s="84" t="s">
        <v>119</v>
      </c>
    </row>
    <row r="21" customFormat="false" ht="13.8" hidden="false" customHeight="false" outlineLevel="0" collapsed="false">
      <c r="P21" s="85"/>
      <c r="Q21" s="76" t="s">
        <v>120</v>
      </c>
    </row>
    <row r="22" customFormat="false" ht="13.8" hidden="false" customHeight="false" outlineLevel="0" collapsed="false">
      <c r="A22" s="42" t="s">
        <v>1</v>
      </c>
      <c r="B22" s="40" t="s">
        <v>121</v>
      </c>
      <c r="C22" s="86" t="s">
        <v>122</v>
      </c>
      <c r="D22" s="87" t="s">
        <v>123</v>
      </c>
      <c r="T22" s="2"/>
    </row>
    <row r="23" customFormat="false" ht="13.8" hidden="false" customHeight="false" outlineLevel="0" collapsed="false">
      <c r="A23" s="10" t="s">
        <v>124</v>
      </c>
      <c r="B23" s="88" t="n">
        <f aca="false">RawData!D26+RawData!E26</f>
        <v>171400</v>
      </c>
      <c r="C23" s="88" t="n">
        <f aca="false">RawData!I26+RawData!J26</f>
        <v>187500</v>
      </c>
      <c r="D23" s="88" t="n">
        <f aca="false">C23-B23</f>
        <v>16100</v>
      </c>
      <c r="W23" s="2"/>
      <c r="X23" s="2"/>
    </row>
    <row r="24" customFormat="false" ht="13.8" hidden="false" customHeight="false" outlineLevel="0" collapsed="false">
      <c r="A24" s="10" t="s">
        <v>125</v>
      </c>
      <c r="B24" s="88" t="n">
        <f aca="false">RawData!D27+RawData!E27</f>
        <v>182000</v>
      </c>
      <c r="C24" s="88" t="n">
        <f aca="false">RawData!I27+RawData!J27</f>
        <v>199100</v>
      </c>
      <c r="D24" s="88" t="n">
        <f aca="false">C24-B24</f>
        <v>17100</v>
      </c>
      <c r="W24" s="2"/>
    </row>
    <row r="25" customFormat="false" ht="13.8" hidden="false" customHeight="false" outlineLevel="0" collapsed="false">
      <c r="A25" s="10" t="s">
        <v>126</v>
      </c>
      <c r="B25" s="88" t="n">
        <f aca="false">RawData!D28+RawData!E28</f>
        <v>203200</v>
      </c>
      <c r="C25" s="88" t="n">
        <f aca="false">RawData!I28+RawData!J28</f>
        <v>222300</v>
      </c>
      <c r="D25" s="88" t="n">
        <f aca="false">C25-B25</f>
        <v>19100</v>
      </c>
      <c r="T25" s="2"/>
    </row>
    <row r="26" customFormat="false" ht="13.8" hidden="false" customHeight="false" outlineLevel="0" collapsed="false">
      <c r="A26" s="10" t="s">
        <v>127</v>
      </c>
      <c r="B26" s="88" t="n">
        <f aca="false">RawData!D29+RawData!E29</f>
        <v>235000</v>
      </c>
      <c r="C26" s="88" t="n">
        <f aca="false">RawData!I29+RawData!J29</f>
        <v>257100</v>
      </c>
      <c r="D26" s="88" t="n">
        <f aca="false">C26-B26</f>
        <v>22100</v>
      </c>
      <c r="T26" s="2"/>
    </row>
    <row r="27" customFormat="false" ht="13.8" hidden="false" customHeight="false" outlineLevel="0" collapsed="false">
      <c r="A27" s="10" t="s">
        <v>128</v>
      </c>
      <c r="B27" s="88" t="n">
        <f aca="false">RawData!D30+RawData!E30</f>
        <v>245600</v>
      </c>
      <c r="C27" s="88" t="n">
        <f aca="false">RawData!I30+RawData!J30</f>
        <v>268700</v>
      </c>
      <c r="D27" s="88" t="n">
        <f aca="false">C27-B27</f>
        <v>23100</v>
      </c>
      <c r="T27" s="2"/>
    </row>
    <row r="28" customFormat="false" ht="13.8" hidden="false" customHeight="false" outlineLevel="0" collapsed="false">
      <c r="A28" s="10" t="s">
        <v>129</v>
      </c>
      <c r="B28" s="88" t="n">
        <f aca="false">RawData!D31+RawData!E31</f>
        <v>245600</v>
      </c>
      <c r="C28" s="88" t="n">
        <f aca="false">RawData!I31+RawData!J31</f>
        <v>268700</v>
      </c>
      <c r="D28" s="88" t="n">
        <f aca="false">C28-B28</f>
        <v>23100</v>
      </c>
      <c r="W28" s="2"/>
      <c r="X28" s="2"/>
    </row>
    <row r="29" customFormat="false" ht="13.8" hidden="false" customHeight="false" outlineLevel="0" collapsed="false">
      <c r="A29" s="10" t="s">
        <v>130</v>
      </c>
      <c r="B29" s="88" t="n">
        <f aca="false">RawData!D32+RawData!E32</f>
        <v>245600</v>
      </c>
      <c r="C29" s="88" t="n">
        <f aca="false">RawData!I32+RawData!J32</f>
        <v>268700</v>
      </c>
      <c r="D29" s="88" t="n">
        <f aca="false">C29-B29</f>
        <v>23100</v>
      </c>
      <c r="W29" s="2"/>
      <c r="X29" s="2"/>
    </row>
    <row r="30" customFormat="false" ht="13.8" hidden="false" customHeight="false" outlineLevel="0" collapsed="false">
      <c r="A30" s="10" t="s">
        <v>131</v>
      </c>
      <c r="B30" s="88" t="n">
        <f aca="false">RawData!D33+RawData!E33</f>
        <v>235000</v>
      </c>
      <c r="C30" s="88" t="n">
        <f aca="false">RawData!I33+RawData!J33</f>
        <v>257100</v>
      </c>
      <c r="D30" s="88" t="n">
        <f aca="false">C30-B30</f>
        <v>22100</v>
      </c>
      <c r="W30" s="2"/>
    </row>
    <row r="31" customFormat="false" ht="13.8" hidden="false" customHeight="false" outlineLevel="0" collapsed="false">
      <c r="A31" s="10" t="s">
        <v>132</v>
      </c>
      <c r="B31" s="88" t="n">
        <f aca="false">RawData!D34+RawData!E34</f>
        <v>224400</v>
      </c>
      <c r="C31" s="88" t="n">
        <f aca="false">RawData!I34+RawData!J34</f>
        <v>245500</v>
      </c>
      <c r="D31" s="88" t="n">
        <f aca="false">C31-B31</f>
        <v>21100</v>
      </c>
      <c r="T31" s="2"/>
    </row>
    <row r="32" customFormat="false" ht="13.8" hidden="false" customHeight="false" outlineLevel="0" collapsed="false">
      <c r="A32" s="10" t="s">
        <v>133</v>
      </c>
      <c r="B32" s="88" t="n">
        <f aca="false">RawData!D35+RawData!E35</f>
        <v>224400</v>
      </c>
      <c r="C32" s="88" t="n">
        <f aca="false">RawData!I35+RawData!J35</f>
        <v>245500</v>
      </c>
      <c r="D32" s="88" t="n">
        <f aca="false">C32-B32</f>
        <v>21100</v>
      </c>
      <c r="Q32" s="2" t="s">
        <v>134</v>
      </c>
    </row>
    <row r="33" customFormat="false" ht="13.8" hidden="false" customHeight="false" outlineLevel="0" collapsed="false">
      <c r="A33" s="10" t="s">
        <v>135</v>
      </c>
      <c r="B33" s="88" t="n">
        <f aca="false">RawData!D36+RawData!E36</f>
        <v>213800</v>
      </c>
      <c r="C33" s="88" t="n">
        <f aca="false">RawData!I36+RawData!J36</f>
        <v>233900</v>
      </c>
      <c r="D33" s="88" t="n">
        <f aca="false">C33-B33</f>
        <v>20100</v>
      </c>
      <c r="Q33" s="2" t="s">
        <v>136</v>
      </c>
    </row>
    <row r="34" customFormat="false" ht="13.8" hidden="false" customHeight="false" outlineLevel="0" collapsed="false">
      <c r="A34" s="10" t="s">
        <v>137</v>
      </c>
      <c r="B34" s="88" t="n">
        <f aca="false">RawData!D37+RawData!E37</f>
        <v>224000</v>
      </c>
      <c r="C34" s="88" t="n">
        <f aca="false">RawData!I37+RawData!J37</f>
        <v>245900</v>
      </c>
      <c r="D34" s="88" t="n">
        <f aca="false">C34-B34</f>
        <v>21900</v>
      </c>
      <c r="Q34" s="2" t="s">
        <v>120</v>
      </c>
    </row>
    <row r="35" customFormat="false" ht="13.8" hidden="false" customHeight="false" outlineLevel="0" collapsed="false">
      <c r="T35" s="2"/>
      <c r="U35" s="2"/>
    </row>
    <row r="36" customFormat="false" ht="13.8" hidden="false" customHeight="false" outlineLevel="0" collapsed="false">
      <c r="A36" s="42" t="s">
        <v>1</v>
      </c>
      <c r="B36" s="40" t="s">
        <v>138</v>
      </c>
      <c r="C36" s="86" t="s">
        <v>139</v>
      </c>
      <c r="D36" s="87" t="s">
        <v>123</v>
      </c>
      <c r="T36" s="2"/>
    </row>
    <row r="37" customFormat="false" ht="13.8" hidden="false" customHeight="false" outlineLevel="0" collapsed="false">
      <c r="A37" s="10" t="s">
        <v>124</v>
      </c>
      <c r="B37" s="10" t="n">
        <f aca="false">RawData!F26+RawData!G26+RawData!H26</f>
        <v>122500</v>
      </c>
      <c r="C37" s="10" t="n">
        <f aca="false">RawData!K26+RawData!L26+RawData!M26</f>
        <v>134000</v>
      </c>
      <c r="D37" s="10" t="n">
        <f aca="false">C37-B37</f>
        <v>11500</v>
      </c>
      <c r="Q37" s="2" t="s">
        <v>134</v>
      </c>
    </row>
    <row r="38" customFormat="false" ht="13.8" hidden="false" customHeight="false" outlineLevel="0" collapsed="false">
      <c r="A38" s="10" t="s">
        <v>125</v>
      </c>
      <c r="B38" s="10" t="n">
        <f aca="false">RawData!F27+RawData!G27+RawData!H27</f>
        <v>132700</v>
      </c>
      <c r="C38" s="10" t="n">
        <f aca="false">RawData!K27+RawData!L27+RawData!M27</f>
        <v>145100</v>
      </c>
      <c r="D38" s="10" t="n">
        <f aca="false">C38-B38</f>
        <v>12400</v>
      </c>
      <c r="Q38" s="2" t="s">
        <v>140</v>
      </c>
    </row>
    <row r="39" customFormat="false" ht="13.8" hidden="false" customHeight="false" outlineLevel="0" collapsed="false">
      <c r="A39" s="10" t="s">
        <v>126</v>
      </c>
      <c r="B39" s="10" t="n">
        <f aca="false">RawData!F28+RawData!G28+RawData!H28</f>
        <v>153100</v>
      </c>
      <c r="C39" s="10" t="n">
        <f aca="false">RawData!K28+RawData!L28+RawData!M28</f>
        <v>167500</v>
      </c>
      <c r="D39" s="10" t="n">
        <f aca="false">C39-B39</f>
        <v>14400</v>
      </c>
      <c r="Q39" s="2" t="s">
        <v>120</v>
      </c>
    </row>
    <row r="40" customFormat="false" ht="13.8" hidden="false" customHeight="false" outlineLevel="0" collapsed="false">
      <c r="A40" s="10" t="s">
        <v>127</v>
      </c>
      <c r="B40" s="10" t="n">
        <f aca="false">RawData!F29+RawData!G29+RawData!H29</f>
        <v>183600</v>
      </c>
      <c r="C40" s="10" t="n">
        <f aca="false">RawData!K29+RawData!L29+RawData!M29</f>
        <v>200900</v>
      </c>
      <c r="D40" s="10" t="n">
        <f aca="false">C40-B40</f>
        <v>17300</v>
      </c>
      <c r="T40" s="2"/>
    </row>
    <row r="41" customFormat="false" ht="13.8" hidden="false" customHeight="false" outlineLevel="0" collapsed="false">
      <c r="A41" s="10" t="s">
        <v>128</v>
      </c>
      <c r="B41" s="10" t="n">
        <f aca="false">RawData!F30+RawData!G30+RawData!H30</f>
        <v>193800</v>
      </c>
      <c r="C41" s="10" t="n">
        <f aca="false">RawData!K30+RawData!L30+RawData!M30</f>
        <v>212100</v>
      </c>
      <c r="D41" s="10" t="n">
        <f aca="false">C41-B41</f>
        <v>18300</v>
      </c>
      <c r="W41" s="2"/>
      <c r="X41" s="2"/>
    </row>
    <row r="42" customFormat="false" ht="13.8" hidden="false" customHeight="false" outlineLevel="0" collapsed="false">
      <c r="A42" s="10" t="s">
        <v>129</v>
      </c>
      <c r="B42" s="10" t="n">
        <f aca="false">RawData!F31+RawData!G31+RawData!H31</f>
        <v>193800</v>
      </c>
      <c r="C42" s="10" t="n">
        <f aca="false">RawData!K31+RawData!L31+RawData!M31</f>
        <v>212100</v>
      </c>
      <c r="D42" s="10" t="n">
        <f aca="false">C42-B42</f>
        <v>18300</v>
      </c>
      <c r="W42" s="2"/>
    </row>
    <row r="43" customFormat="false" ht="13.8" hidden="false" customHeight="false" outlineLevel="0" collapsed="false">
      <c r="A43" s="10" t="s">
        <v>130</v>
      </c>
      <c r="B43" s="10" t="n">
        <f aca="false">RawData!F32+RawData!G32+RawData!H32</f>
        <v>193800</v>
      </c>
      <c r="C43" s="10" t="n">
        <f aca="false">RawData!K32+RawData!L32+RawData!M32</f>
        <v>212100</v>
      </c>
      <c r="D43" s="10" t="n">
        <f aca="false">C43-B43</f>
        <v>18300</v>
      </c>
      <c r="T43" s="2"/>
    </row>
    <row r="44" customFormat="false" ht="13.8" hidden="false" customHeight="false" outlineLevel="0" collapsed="false">
      <c r="A44" s="10" t="s">
        <v>131</v>
      </c>
      <c r="B44" s="10" t="n">
        <f aca="false">RawData!F33+RawData!G33+RawData!H33</f>
        <v>183600</v>
      </c>
      <c r="C44" s="10" t="n">
        <f aca="false">RawData!K33+RawData!L33+RawData!M33</f>
        <v>200900</v>
      </c>
      <c r="D44" s="10" t="n">
        <f aca="false">C44-B44</f>
        <v>17300</v>
      </c>
      <c r="T44" s="2"/>
    </row>
    <row r="45" customFormat="false" ht="13.8" hidden="false" customHeight="false" outlineLevel="0" collapsed="false">
      <c r="A45" s="10" t="s">
        <v>132</v>
      </c>
      <c r="B45" s="10" t="n">
        <f aca="false">RawData!F34+RawData!G34+RawData!H34</f>
        <v>173400</v>
      </c>
      <c r="C45" s="10" t="n">
        <f aca="false">RawData!K34+RawData!L34+RawData!M34</f>
        <v>189800</v>
      </c>
      <c r="D45" s="10" t="n">
        <f aca="false">C45-B45</f>
        <v>16400</v>
      </c>
      <c r="T45" s="2"/>
    </row>
    <row r="46" customFormat="false" ht="13.8" hidden="false" customHeight="false" outlineLevel="0" collapsed="false">
      <c r="A46" s="10" t="s">
        <v>133</v>
      </c>
      <c r="B46" s="10" t="n">
        <f aca="false">RawData!F35+RawData!G35+RawData!H35</f>
        <v>173400</v>
      </c>
      <c r="C46" s="10" t="n">
        <f aca="false">RawData!K35+RawData!L35+RawData!M35</f>
        <v>189800</v>
      </c>
      <c r="D46" s="10" t="n">
        <f aca="false">C46-B46</f>
        <v>16400</v>
      </c>
      <c r="W46" s="2"/>
      <c r="X46" s="2"/>
    </row>
    <row r="47" customFormat="false" ht="13.8" hidden="false" customHeight="false" outlineLevel="0" collapsed="false">
      <c r="A47" s="10" t="s">
        <v>135</v>
      </c>
      <c r="B47" s="10" t="n">
        <f aca="false">RawData!F36+RawData!G36+RawData!H36</f>
        <v>163300</v>
      </c>
      <c r="C47" s="10" t="n">
        <f aca="false">RawData!K36+RawData!L36+RawData!M36</f>
        <v>178700</v>
      </c>
      <c r="D47" s="10" t="n">
        <f aca="false">C47-B47</f>
        <v>15400</v>
      </c>
      <c r="W47" s="2"/>
      <c r="X47" s="2"/>
    </row>
    <row r="48" customFormat="false" ht="13.8" hidden="false" customHeight="false" outlineLevel="0" collapsed="false">
      <c r="A48" s="10" t="s">
        <v>137</v>
      </c>
      <c r="B48" s="10" t="n">
        <f aca="false">RawData!F37+RawData!G37+RawData!H37</f>
        <v>173500</v>
      </c>
      <c r="C48" s="10" t="n">
        <f aca="false">RawData!K37+RawData!L37+RawData!M37</f>
        <v>190000</v>
      </c>
      <c r="D48" s="10" t="n">
        <f aca="false">C48-B48</f>
        <v>16500</v>
      </c>
      <c r="W48" s="2"/>
    </row>
    <row r="49" customFormat="false" ht="13.8" hidden="false" customHeight="false" outlineLevel="0" collapsed="false">
      <c r="T49" s="2"/>
    </row>
    <row r="50" customFormat="false" ht="13.8" hidden="false" customHeight="false" outlineLevel="0" collapsed="false">
      <c r="Q50" s="2" t="s">
        <v>134</v>
      </c>
    </row>
    <row r="51" customFormat="false" ht="13.8" hidden="false" customHeight="false" outlineLevel="0" collapsed="false">
      <c r="Q51" s="2" t="s">
        <v>136</v>
      </c>
    </row>
    <row r="52" customFormat="false" ht="13.8" hidden="false" customHeight="false" outlineLevel="0" collapsed="false">
      <c r="Q52" s="2" t="s">
        <v>120</v>
      </c>
    </row>
    <row r="53" customFormat="false" ht="13.8" hidden="false" customHeight="false" outlineLevel="0" collapsed="false">
      <c r="T53" s="2"/>
      <c r="U53" s="2"/>
    </row>
    <row r="54" customFormat="false" ht="13.8" hidden="false" customHeight="false" outlineLevel="0" collapsed="false">
      <c r="T54" s="2"/>
    </row>
    <row r="55" customFormat="false" ht="13.8" hidden="false" customHeight="false" outlineLevel="0" collapsed="false">
      <c r="Q55" s="2" t="s">
        <v>134</v>
      </c>
    </row>
    <row r="56" customFormat="false" ht="13.8" hidden="false" customHeight="false" outlineLevel="0" collapsed="false">
      <c r="N56" s="10" t="s">
        <v>134</v>
      </c>
    </row>
  </sheetData>
  <conditionalFormatting sqref="P6:P8 N12:P14 B15:P15 N18:P18 C18:L18 N17:O18 P17">
    <cfRule type="cellIs" priority="2" operator="greaterThanOrEqual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P6:P8 N12:P14 B15:P15 N18:P18 C18:L18 N17:O18 P17">
    <cfRule type="cellIs" priority="4" operator="lessThanOrEqual" aboveAverage="0" equalAverage="0" bottom="0" percent="0" rank="0" text="" dxfId="2">
      <formula>0</formula>
    </cfRule>
  </conditionalFormatting>
  <conditionalFormatting sqref="B12:M14">
    <cfRule type="cellIs" priority="5" operator="greaterThan" aboveAverage="0" equalAverage="0" bottom="0" percent="0" rank="0" text="" dxfId="0">
      <formula>0</formula>
    </cfRule>
    <cfRule type="cellIs" priority="6" operator="lessThan" aboveAverage="0" equalAverage="0" bottom="0" percent="0" rank="0" text="" dxfId="1">
      <formula>0</formula>
    </cfRule>
  </conditionalFormatting>
  <conditionalFormatting sqref="E17:M17 B17">
    <cfRule type="cellIs" priority="7" operator="greaterThanOrEqual" aboveAverage="0" equalAverage="0" bottom="0" percent="0" rank="0" text="" dxfId="0">
      <formula>0</formula>
    </cfRule>
    <cfRule type="cellIs" priority="8" operator="lessThan" aboveAverage="0" equalAverage="0" bottom="0" percent="0" rank="0" text="" dxfId="1">
      <formula>0</formula>
    </cfRule>
  </conditionalFormatting>
  <conditionalFormatting sqref="E17:M17 B17">
    <cfRule type="cellIs" priority="9" operator="lessThanOrEqual" aboveAverage="0" equalAverage="0" bottom="0" percent="0" rank="0" text="" dxfId="2">
      <formula>0</formula>
    </cfRule>
  </conditionalFormatting>
  <conditionalFormatting sqref="C17:D17">
    <cfRule type="cellIs" priority="10" operator="greaterThanOrEqual" aboveAverage="0" equalAverage="0" bottom="0" percent="0" rank="0" text="" dxfId="0">
      <formula>0</formula>
    </cfRule>
    <cfRule type="cellIs" priority="11" operator="lessThan" aboveAverage="0" equalAverage="0" bottom="0" percent="0" rank="0" text="" dxfId="1">
      <formula>0</formula>
    </cfRule>
  </conditionalFormatting>
  <conditionalFormatting sqref="C17:D17">
    <cfRule type="cellIs" priority="12" operator="lessThanOrEqual" aboveAverage="0" equalAverage="0" bottom="0" percent="0" rank="0" text="" dxfId="2">
      <formula>0</formula>
    </cfRule>
  </conditionalFormatting>
  <conditionalFormatting sqref="M18">
    <cfRule type="cellIs" priority="13" operator="greaterThanOrEqual" aboveAverage="0" equalAverage="0" bottom="0" percent="0" rank="0" text="" dxfId="0">
      <formula>0</formula>
    </cfRule>
    <cfRule type="cellIs" priority="14" operator="lessThan" aboveAverage="0" equalAverage="0" bottom="0" percent="0" rank="0" text="" dxfId="1">
      <formula>0</formula>
    </cfRule>
  </conditionalFormatting>
  <conditionalFormatting sqref="M18">
    <cfRule type="cellIs" priority="15" operator="lessThanOrEqual" aboveAverage="0" equalAverage="0" bottom="0" percent="0" rank="0" text="" dxfId="2">
      <formula>0</formula>
    </cfRule>
  </conditionalFormatting>
  <conditionalFormatting sqref="B18">
    <cfRule type="cellIs" priority="16" operator="greaterThanOrEqual" aboveAverage="0" equalAverage="0" bottom="0" percent="0" rank="0" text="" dxfId="0">
      <formula>0</formula>
    </cfRule>
    <cfRule type="cellIs" priority="17" operator="lessThan" aboveAverage="0" equalAverage="0" bottom="0" percent="0" rank="0" text="" dxfId="1">
      <formula>0</formula>
    </cfRule>
  </conditionalFormatting>
  <conditionalFormatting sqref="B18">
    <cfRule type="cellIs" priority="18" operator="lessThanOrEqual" aboveAverage="0" equalAverage="0" bottom="0" percent="0" rank="0" text="" dxfId="2">
      <formula>0</formula>
    </cfRule>
  </conditionalFormatting>
  <conditionalFormatting sqref="B6:O8">
    <cfRule type="cellIs" priority="19" operator="greaterThanOrEqual" aboveAverage="0" equalAverage="0" bottom="0" percent="0" rank="0" text="" dxfId="0">
      <formula>0</formula>
    </cfRule>
    <cfRule type="cellIs" priority="20" operator="lessThan" aboveAverage="0" equalAverage="0" bottom="0" percent="0" rank="0" text="" dxfId="1">
      <formula>0</formula>
    </cfRule>
  </conditionalFormatting>
  <conditionalFormatting sqref="B6:O8">
    <cfRule type="cellIs" priority="21" operator="lessThanOr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B21" activeCellId="0" sqref="B2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2" width="22"/>
    <col collapsed="false" customWidth="true" hidden="false" outlineLevel="0" max="14" min="2" style="2" width="12"/>
    <col collapsed="false" customWidth="true" hidden="false" outlineLevel="0" max="15" min="15" style="2" width="14"/>
    <col collapsed="false" customWidth="true" hidden="false" outlineLevel="0" max="16" min="16" style="2" width="15"/>
  </cols>
  <sheetData>
    <row r="1" customFormat="false" ht="27.75" hidden="false" customHeight="true" outlineLevel="0" collapsed="false">
      <c r="A1" s="37" t="s">
        <v>141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</row>
    <row r="2" customFormat="false" ht="15" hidden="false" customHeight="false" outlineLevel="0" collapsed="false">
      <c r="A2" s="89"/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</row>
    <row r="4" customFormat="false" ht="21.75" hidden="false" customHeight="true" outlineLevel="0" collapsed="false">
      <c r="A4" s="90" t="s">
        <v>142</v>
      </c>
      <c r="B4" s="90" t="s">
        <v>13</v>
      </c>
      <c r="C4" s="90" t="s">
        <v>14</v>
      </c>
      <c r="D4" s="90" t="s">
        <v>15</v>
      </c>
      <c r="E4" s="90" t="s">
        <v>16</v>
      </c>
      <c r="F4" s="90" t="s">
        <v>17</v>
      </c>
      <c r="G4" s="90" t="s">
        <v>18</v>
      </c>
      <c r="H4" s="90" t="s">
        <v>19</v>
      </c>
      <c r="I4" s="90" t="s">
        <v>20</v>
      </c>
      <c r="J4" s="90" t="s">
        <v>21</v>
      </c>
      <c r="K4" s="90" t="s">
        <v>22</v>
      </c>
      <c r="L4" s="90" t="s">
        <v>23</v>
      </c>
      <c r="M4" s="90" t="s">
        <v>24</v>
      </c>
      <c r="N4" s="90" t="s">
        <v>99</v>
      </c>
      <c r="O4" s="90" t="s">
        <v>143</v>
      </c>
    </row>
    <row r="5" customFormat="false" ht="18" hidden="false" customHeight="true" outlineLevel="0" collapsed="false">
      <c r="A5" s="91" t="s">
        <v>144</v>
      </c>
      <c r="B5" s="92" t="n">
        <f aca="false">Drivers!B8*Drivers!B14</f>
        <v>234600</v>
      </c>
      <c r="C5" s="92" t="n">
        <f aca="false">Drivers!C8*Drivers!C14</f>
        <v>234600</v>
      </c>
      <c r="D5" s="92" t="n">
        <f aca="false">Drivers!D8*Drivers!D14</f>
        <v>234600</v>
      </c>
      <c r="E5" s="92" t="n">
        <f aca="false">Drivers!E8*Drivers!E14</f>
        <v>239200</v>
      </c>
      <c r="F5" s="92" t="n">
        <f aca="false">Drivers!F8*Drivers!F14</f>
        <v>239200</v>
      </c>
      <c r="G5" s="92" t="n">
        <f aca="false">Drivers!G8*Drivers!G14</f>
        <v>239200</v>
      </c>
      <c r="H5" s="92" t="n">
        <f aca="false">Drivers!H8*Drivers!H14</f>
        <v>239200</v>
      </c>
      <c r="I5" s="92" t="n">
        <f aca="false">Drivers!I8*Drivers!I14</f>
        <v>239200</v>
      </c>
      <c r="J5" s="92" t="n">
        <f aca="false">Drivers!J8*Drivers!J14</f>
        <v>239200</v>
      </c>
      <c r="K5" s="92" t="n">
        <f aca="false">Drivers!K8*Drivers!K14</f>
        <v>243800</v>
      </c>
      <c r="L5" s="92" t="n">
        <f aca="false">Drivers!L8*Drivers!L14</f>
        <v>243800</v>
      </c>
      <c r="M5" s="92" t="n">
        <f aca="false">Drivers!M8*Drivers!M14</f>
        <v>243800</v>
      </c>
      <c r="N5" s="93" t="n">
        <f aca="false">SUM(B5:M5)</f>
        <v>2870400</v>
      </c>
      <c r="O5" s="94" t="n">
        <f aca="false">IF(N7=0,0,N5/N7)</f>
        <v>0.844036697247707</v>
      </c>
    </row>
    <row r="6" customFormat="false" ht="18" hidden="false" customHeight="true" outlineLevel="0" collapsed="false">
      <c r="A6" s="91" t="s">
        <v>145</v>
      </c>
      <c r="B6" s="95" t="n">
        <f aca="false">Drivers!B19</f>
        <v>44200</v>
      </c>
      <c r="C6" s="95" t="n">
        <f aca="false">Drivers!C19</f>
        <v>44200</v>
      </c>
      <c r="D6" s="95" t="n">
        <f aca="false">Drivers!D19</f>
        <v>44200</v>
      </c>
      <c r="E6" s="95" t="n">
        <f aca="false">Drivers!E19</f>
        <v>44200</v>
      </c>
      <c r="F6" s="95" t="n">
        <f aca="false">Drivers!F19</f>
        <v>44200</v>
      </c>
      <c r="G6" s="95" t="n">
        <f aca="false">Drivers!G19</f>
        <v>44200</v>
      </c>
      <c r="H6" s="95" t="n">
        <f aca="false">Drivers!H19</f>
        <v>44200</v>
      </c>
      <c r="I6" s="95" t="n">
        <f aca="false">Drivers!I19</f>
        <v>44200</v>
      </c>
      <c r="J6" s="95" t="n">
        <f aca="false">Drivers!J19</f>
        <v>44200</v>
      </c>
      <c r="K6" s="95" t="n">
        <f aca="false">Drivers!K19</f>
        <v>44200</v>
      </c>
      <c r="L6" s="95" t="n">
        <f aca="false">Drivers!L19</f>
        <v>44200</v>
      </c>
      <c r="M6" s="95" t="n">
        <f aca="false">Drivers!M19</f>
        <v>44200</v>
      </c>
      <c r="N6" s="93" t="n">
        <f aca="false">SUM(B6:M6)</f>
        <v>530400</v>
      </c>
      <c r="O6" s="94" t="n">
        <f aca="false">IF(N7=0,0,N6/N7)</f>
        <v>0.155963302752294</v>
      </c>
    </row>
    <row r="7" customFormat="false" ht="18" hidden="false" customHeight="true" outlineLevel="0" collapsed="false">
      <c r="A7" s="96" t="s">
        <v>107</v>
      </c>
      <c r="B7" s="97" t="n">
        <f aca="false">B5+B6</f>
        <v>278800</v>
      </c>
      <c r="C7" s="97" t="n">
        <f aca="false">C5+C6</f>
        <v>278800</v>
      </c>
      <c r="D7" s="97" t="n">
        <f aca="false">D5+D6</f>
        <v>278800</v>
      </c>
      <c r="E7" s="97" t="n">
        <f aca="false">E5+E6</f>
        <v>283400</v>
      </c>
      <c r="F7" s="97" t="n">
        <f aca="false">F5+F6</f>
        <v>283400</v>
      </c>
      <c r="G7" s="97" t="n">
        <f aca="false">G5+G6</f>
        <v>283400</v>
      </c>
      <c r="H7" s="97" t="n">
        <f aca="false">H5+H6</f>
        <v>283400</v>
      </c>
      <c r="I7" s="97" t="n">
        <f aca="false">I5+I6</f>
        <v>283400</v>
      </c>
      <c r="J7" s="97" t="n">
        <f aca="false">J5+J6</f>
        <v>283400</v>
      </c>
      <c r="K7" s="97" t="n">
        <f aca="false">K5+K6</f>
        <v>288000</v>
      </c>
      <c r="L7" s="97" t="n">
        <f aca="false">L5+L6</f>
        <v>288000</v>
      </c>
      <c r="M7" s="97" t="n">
        <f aca="false">M5+M6</f>
        <v>288000</v>
      </c>
      <c r="N7" s="98" t="n">
        <f aca="false">SUM(B7:M7)</f>
        <v>3400800</v>
      </c>
      <c r="O7" s="99" t="n">
        <f aca="false">IF(N7=0,0,N7/N7)</f>
        <v>1</v>
      </c>
    </row>
    <row r="8" customFormat="false" ht="18" hidden="false" customHeight="true" outlineLevel="0" collapsed="false">
      <c r="A8" s="91"/>
      <c r="B8" s="100"/>
      <c r="C8" s="100"/>
      <c r="D8" s="100"/>
      <c r="E8" s="100"/>
      <c r="F8" s="100"/>
      <c r="G8" s="100"/>
      <c r="H8" s="100"/>
      <c r="I8" s="100"/>
      <c r="J8" s="100"/>
      <c r="K8" s="100"/>
      <c r="L8" s="100"/>
      <c r="M8" s="100"/>
      <c r="N8" s="101"/>
      <c r="O8" s="101"/>
    </row>
    <row r="9" customFormat="false" ht="18" hidden="false" customHeight="true" outlineLevel="0" collapsed="false">
      <c r="A9" s="91" t="s">
        <v>146</v>
      </c>
      <c r="B9" s="95" t="n">
        <f aca="false">Drivers!B8*Drivers!E25</f>
        <v>140781.25</v>
      </c>
      <c r="C9" s="95" t="n">
        <f aca="false">Drivers!C8*Drivers!E25</f>
        <v>140781.25</v>
      </c>
      <c r="D9" s="95" t="n">
        <f aca="false">Drivers!D8*Drivers!E25</f>
        <v>140781.25</v>
      </c>
      <c r="E9" s="95" t="n">
        <f aca="false">Drivers!E8*Drivers!E25</f>
        <v>143541.666666667</v>
      </c>
      <c r="F9" s="95" t="n">
        <f aca="false">Drivers!F8*Drivers!E25</f>
        <v>143541.666666667</v>
      </c>
      <c r="G9" s="95" t="n">
        <f aca="false">Drivers!G8*Drivers!E25</f>
        <v>143541.666666667</v>
      </c>
      <c r="H9" s="95" t="n">
        <f aca="false">Drivers!H8*Drivers!E25</f>
        <v>143541.666666667</v>
      </c>
      <c r="I9" s="95" t="n">
        <f aca="false">Drivers!I8*Drivers!E25</f>
        <v>143541.666666667</v>
      </c>
      <c r="J9" s="95" t="n">
        <f aca="false">Drivers!J8*Drivers!E25</f>
        <v>143541.666666667</v>
      </c>
      <c r="K9" s="95" t="n">
        <f aca="false">Drivers!K8*Drivers!E25</f>
        <v>146302.083333333</v>
      </c>
      <c r="L9" s="95" t="n">
        <f aca="false">Drivers!L8*Drivers!E25</f>
        <v>146302.083333333</v>
      </c>
      <c r="M9" s="95" t="n">
        <f aca="false">Drivers!M8*Drivers!E25</f>
        <v>146302.083333333</v>
      </c>
      <c r="N9" s="93" t="n">
        <f aca="false">SUM(B9:M9)</f>
        <v>1722500</v>
      </c>
      <c r="O9" s="94" t="n">
        <f aca="false">IF(N7=0,0,N9/N7)</f>
        <v>0.506498470948012</v>
      </c>
    </row>
    <row r="10" customFormat="false" ht="18" hidden="false" customHeight="true" outlineLevel="0" collapsed="false">
      <c r="A10" s="91" t="s">
        <v>147</v>
      </c>
      <c r="B10" s="95" t="n">
        <f aca="false">B7*Drivers!D31</f>
        <v>22304</v>
      </c>
      <c r="C10" s="95" t="n">
        <f aca="false">C7*Drivers!D31</f>
        <v>22304</v>
      </c>
      <c r="D10" s="95" t="n">
        <f aca="false">D7*Drivers!D31</f>
        <v>22304</v>
      </c>
      <c r="E10" s="95" t="n">
        <f aca="false">E7*Drivers!D31</f>
        <v>22672</v>
      </c>
      <c r="F10" s="95" t="n">
        <f aca="false">F7*Drivers!D31</f>
        <v>22672</v>
      </c>
      <c r="G10" s="95" t="n">
        <f aca="false">G7*Drivers!D31</f>
        <v>22672</v>
      </c>
      <c r="H10" s="95" t="n">
        <f aca="false">H7*Drivers!D31</f>
        <v>22672</v>
      </c>
      <c r="I10" s="95" t="n">
        <f aca="false">I7*Drivers!D31</f>
        <v>22672</v>
      </c>
      <c r="J10" s="95" t="n">
        <f aca="false">J7*Drivers!D31</f>
        <v>22672</v>
      </c>
      <c r="K10" s="95" t="n">
        <f aca="false">K7*Drivers!D31</f>
        <v>23040</v>
      </c>
      <c r="L10" s="95" t="n">
        <f aca="false">L7*Drivers!D31</f>
        <v>23040</v>
      </c>
      <c r="M10" s="95" t="n">
        <f aca="false">M7*Drivers!D31</f>
        <v>23040</v>
      </c>
      <c r="N10" s="93" t="n">
        <f aca="false">SUM(B10:M10)</f>
        <v>272064</v>
      </c>
      <c r="O10" s="94" t="n">
        <f aca="false">IF(N7=0,0,N10/N7)</f>
        <v>0.08</v>
      </c>
    </row>
    <row r="11" customFormat="false" ht="18" hidden="false" customHeight="true" outlineLevel="0" collapsed="false">
      <c r="A11" s="91" t="s">
        <v>148</v>
      </c>
      <c r="B11" s="95" t="n">
        <f aca="false">B7*Drivers!D37</f>
        <v>11152</v>
      </c>
      <c r="C11" s="95" t="n">
        <f aca="false">C7*Drivers!D37</f>
        <v>11152</v>
      </c>
      <c r="D11" s="95" t="n">
        <f aca="false">D7*Drivers!D37</f>
        <v>11152</v>
      </c>
      <c r="E11" s="95" t="n">
        <f aca="false">E7*Drivers!D37</f>
        <v>11336</v>
      </c>
      <c r="F11" s="95" t="n">
        <f aca="false">F7*Drivers!D37</f>
        <v>11336</v>
      </c>
      <c r="G11" s="95" t="n">
        <f aca="false">G7*Drivers!D37</f>
        <v>11336</v>
      </c>
      <c r="H11" s="95" t="n">
        <f aca="false">H7*Drivers!D37</f>
        <v>11336</v>
      </c>
      <c r="I11" s="95" t="n">
        <f aca="false">I7*Drivers!D37</f>
        <v>11336</v>
      </c>
      <c r="J11" s="95" t="n">
        <f aca="false">J7*Drivers!D37</f>
        <v>11336</v>
      </c>
      <c r="K11" s="95" t="n">
        <f aca="false">K7*Drivers!D37</f>
        <v>11520</v>
      </c>
      <c r="L11" s="95" t="n">
        <f aca="false">L7*Drivers!D37</f>
        <v>11520</v>
      </c>
      <c r="M11" s="95" t="n">
        <f aca="false">M7*Drivers!D37</f>
        <v>11520</v>
      </c>
      <c r="N11" s="93" t="n">
        <f aca="false">SUM(B11:M11)</f>
        <v>136032</v>
      </c>
      <c r="O11" s="94" t="n">
        <f aca="false">IF(N7=0,0,N11/N7)</f>
        <v>0.04</v>
      </c>
    </row>
    <row r="12" customFormat="false" ht="18" hidden="false" customHeight="true" outlineLevel="0" collapsed="false">
      <c r="A12" s="96" t="s">
        <v>61</v>
      </c>
      <c r="B12" s="97" t="n">
        <f aca="false">B9+B10+B11</f>
        <v>174237.25</v>
      </c>
      <c r="C12" s="97" t="n">
        <f aca="false">C9+C10+C11</f>
        <v>174237.25</v>
      </c>
      <c r="D12" s="97" t="n">
        <f aca="false">D9+D10+D11</f>
        <v>174237.25</v>
      </c>
      <c r="E12" s="97" t="n">
        <f aca="false">E9+E10+E11</f>
        <v>177549.666666667</v>
      </c>
      <c r="F12" s="97" t="n">
        <f aca="false">F9+F10+F11</f>
        <v>177549.666666667</v>
      </c>
      <c r="G12" s="97" t="n">
        <f aca="false">G9+G10+G11</f>
        <v>177549.666666667</v>
      </c>
      <c r="H12" s="97" t="n">
        <f aca="false">H9+H10+H11</f>
        <v>177549.666666667</v>
      </c>
      <c r="I12" s="97" t="n">
        <f aca="false">I9+I10+I11</f>
        <v>177549.666666667</v>
      </c>
      <c r="J12" s="97" t="n">
        <f aca="false">J9+J10+J11</f>
        <v>177549.666666667</v>
      </c>
      <c r="K12" s="97" t="n">
        <f aca="false">K9+K10+K11</f>
        <v>180862.083333333</v>
      </c>
      <c r="L12" s="97" t="n">
        <f aca="false">L9+L10+L11</f>
        <v>180862.083333333</v>
      </c>
      <c r="M12" s="97" t="n">
        <f aca="false">M9+M10+M11</f>
        <v>180862.083333333</v>
      </c>
      <c r="N12" s="98" t="n">
        <f aca="false">SUM(B12:M12)</f>
        <v>2130596</v>
      </c>
      <c r="O12" s="99" t="n">
        <f aca="false">IF(N7=0,0,N12/N7)</f>
        <v>0.626498470948012</v>
      </c>
    </row>
    <row r="13" customFormat="false" ht="18" hidden="false" customHeight="true" outlineLevel="0" collapsed="false">
      <c r="A13" s="91"/>
      <c r="B13" s="100"/>
      <c r="C13" s="100"/>
      <c r="D13" s="100"/>
      <c r="E13" s="100"/>
      <c r="F13" s="100"/>
      <c r="G13" s="100"/>
      <c r="H13" s="100"/>
      <c r="I13" s="100"/>
      <c r="J13" s="100"/>
      <c r="K13" s="100"/>
      <c r="L13" s="100"/>
      <c r="M13" s="100"/>
      <c r="N13" s="101"/>
      <c r="O13" s="101"/>
    </row>
    <row r="14" customFormat="false" ht="18" hidden="false" customHeight="true" outlineLevel="0" collapsed="false">
      <c r="A14" s="96" t="s">
        <v>149</v>
      </c>
      <c r="B14" s="102" t="n">
        <f aca="false">B7-B12</f>
        <v>104562.75</v>
      </c>
      <c r="C14" s="102" t="n">
        <f aca="false">C7-C12</f>
        <v>104562.75</v>
      </c>
      <c r="D14" s="102" t="n">
        <f aca="false">D7-D12</f>
        <v>104562.75</v>
      </c>
      <c r="E14" s="102" t="n">
        <f aca="false">E7-E12</f>
        <v>105850.333333333</v>
      </c>
      <c r="F14" s="102" t="n">
        <f aca="false">F7-F12</f>
        <v>105850.333333333</v>
      </c>
      <c r="G14" s="102" t="n">
        <f aca="false">G7-G12</f>
        <v>105850.333333333</v>
      </c>
      <c r="H14" s="102" t="n">
        <f aca="false">H7-H12</f>
        <v>105850.333333333</v>
      </c>
      <c r="I14" s="102" t="n">
        <f aca="false">I7-I12</f>
        <v>105850.333333333</v>
      </c>
      <c r="J14" s="102" t="n">
        <f aca="false">J7-J12</f>
        <v>105850.333333333</v>
      </c>
      <c r="K14" s="102" t="n">
        <f aca="false">K7-K12</f>
        <v>107137.916666667</v>
      </c>
      <c r="L14" s="102" t="n">
        <f aca="false">L7-L12</f>
        <v>107137.916666667</v>
      </c>
      <c r="M14" s="102" t="n">
        <f aca="false">M7-M12</f>
        <v>107137.916666667</v>
      </c>
      <c r="N14" s="103" t="n">
        <f aca="false">SUM(B14:M14)</f>
        <v>1270204</v>
      </c>
      <c r="O14" s="104" t="n">
        <f aca="false">IF(N7=0,0,N14/N7)</f>
        <v>0.373501529051988</v>
      </c>
    </row>
    <row r="15" customFormat="false" ht="18" hidden="false" customHeight="true" outlineLevel="0" collapsed="false">
      <c r="A15" s="105" t="s">
        <v>62</v>
      </c>
      <c r="B15" s="106" t="n">
        <f aca="false">B14</f>
        <v>104562.75</v>
      </c>
      <c r="C15" s="106" t="n">
        <f aca="false">C14</f>
        <v>104562.75</v>
      </c>
      <c r="D15" s="106" t="n">
        <f aca="false">D14</f>
        <v>104562.75</v>
      </c>
      <c r="E15" s="106" t="n">
        <f aca="false">E14</f>
        <v>105850.333333333</v>
      </c>
      <c r="F15" s="106" t="n">
        <f aca="false">F14</f>
        <v>105850.333333333</v>
      </c>
      <c r="G15" s="106" t="n">
        <f aca="false">G14</f>
        <v>105850.333333333</v>
      </c>
      <c r="H15" s="106" t="n">
        <f aca="false">H14</f>
        <v>105850.333333333</v>
      </c>
      <c r="I15" s="106" t="n">
        <f aca="false">I14</f>
        <v>105850.333333333</v>
      </c>
      <c r="J15" s="106" t="n">
        <f aca="false">J14</f>
        <v>105850.333333333</v>
      </c>
      <c r="K15" s="106" t="n">
        <f aca="false">K14</f>
        <v>107137.916666667</v>
      </c>
      <c r="L15" s="106" t="n">
        <f aca="false">L14</f>
        <v>107137.916666667</v>
      </c>
      <c r="M15" s="106" t="n">
        <f aca="false">M14</f>
        <v>107137.916666667</v>
      </c>
      <c r="N15" s="106" t="n">
        <f aca="false">SUM(B15:M15)</f>
        <v>1270204</v>
      </c>
      <c r="O15" s="107" t="n">
        <f aca="false">IF(N7=0,0,N15/N7)</f>
        <v>0.373501529051988</v>
      </c>
    </row>
    <row r="16" customFormat="false" ht="18" hidden="false" customHeight="true" outlineLevel="0" collapsed="false">
      <c r="A16" s="91" t="s">
        <v>150</v>
      </c>
      <c r="B16" s="108" t="n">
        <f aca="false">IF(B7=0,0,B15/B7)</f>
        <v>0.375045731707317</v>
      </c>
      <c r="C16" s="108" t="n">
        <f aca="false">IF(C7=0,0,C15/C7)</f>
        <v>0.375045731707317</v>
      </c>
      <c r="D16" s="108" t="n">
        <f aca="false">IF(D7=0,0,D15/D7)</f>
        <v>0.375045731707317</v>
      </c>
      <c r="E16" s="108" t="n">
        <f aca="false">IF(E7=0,0,E15/E7)</f>
        <v>0.373501529051988</v>
      </c>
      <c r="F16" s="108" t="n">
        <f aca="false">IF(F7=0,0,F15/F7)</f>
        <v>0.373501529051988</v>
      </c>
      <c r="G16" s="108" t="n">
        <f aca="false">IF(G7=0,0,G15/G7)</f>
        <v>0.373501529051988</v>
      </c>
      <c r="H16" s="108" t="n">
        <f aca="false">IF(H7=0,0,H15/H7)</f>
        <v>0.373501529051988</v>
      </c>
      <c r="I16" s="108" t="n">
        <f aca="false">IF(I7=0,0,I15/I7)</f>
        <v>0.373501529051988</v>
      </c>
      <c r="J16" s="108" t="n">
        <f aca="false">IF(J7=0,0,J15/J7)</f>
        <v>0.373501529051988</v>
      </c>
      <c r="K16" s="108" t="n">
        <f aca="false">IF(K7=0,0,K15/K7)</f>
        <v>0.372006655092593</v>
      </c>
      <c r="L16" s="108" t="n">
        <f aca="false">IF(L7=0,0,L15/L7)</f>
        <v>0.372006655092593</v>
      </c>
      <c r="M16" s="108" t="n">
        <f aca="false">IF(M7=0,0,M15/M7)</f>
        <v>0.372006655092593</v>
      </c>
      <c r="N16" s="104" t="n">
        <f aca="false">IF(N7=0,0,N15/N7)</f>
        <v>0.373501529051988</v>
      </c>
      <c r="O16" s="104"/>
    </row>
    <row r="17" customFormat="false" ht="18" hidden="false" customHeight="true" outlineLevel="0" collapsed="false">
      <c r="A17" s="91"/>
      <c r="B17" s="101"/>
      <c r="C17" s="101"/>
      <c r="D17" s="101"/>
      <c r="E17" s="101"/>
      <c r="F17" s="101"/>
      <c r="G17" s="101"/>
      <c r="H17" s="101"/>
      <c r="I17" s="101"/>
      <c r="J17" s="101"/>
      <c r="K17" s="101"/>
      <c r="L17" s="101"/>
      <c r="M17" s="101"/>
      <c r="N17" s="101"/>
      <c r="O17" s="101"/>
    </row>
    <row r="18" customFormat="false" ht="18" hidden="false" customHeight="true" outlineLevel="0" collapsed="false">
      <c r="A18" s="91" t="s">
        <v>151</v>
      </c>
      <c r="B18" s="95" t="n">
        <f aca="false">0.02*B7</f>
        <v>5576</v>
      </c>
      <c r="C18" s="95" t="n">
        <f aca="false">0.02*C7</f>
        <v>5576</v>
      </c>
      <c r="D18" s="95" t="n">
        <f aca="false">0.02*D7</f>
        <v>5576</v>
      </c>
      <c r="E18" s="95" t="n">
        <f aca="false">0.02*E7</f>
        <v>5668</v>
      </c>
      <c r="F18" s="95" t="n">
        <f aca="false">0.02*F7</f>
        <v>5668</v>
      </c>
      <c r="G18" s="95" t="n">
        <f aca="false">0.02*G7</f>
        <v>5668</v>
      </c>
      <c r="H18" s="95" t="n">
        <f aca="false">0.02*H7</f>
        <v>5668</v>
      </c>
      <c r="I18" s="95" t="n">
        <f aca="false">0.02*I7</f>
        <v>5668</v>
      </c>
      <c r="J18" s="95" t="n">
        <f aca="false">0.02*J7</f>
        <v>5668</v>
      </c>
      <c r="K18" s="95" t="n">
        <f aca="false">0.02*K7</f>
        <v>5760</v>
      </c>
      <c r="L18" s="95" t="n">
        <f aca="false">0.02*L7</f>
        <v>5760</v>
      </c>
      <c r="M18" s="95" t="n">
        <f aca="false">0.02*M7</f>
        <v>5760</v>
      </c>
      <c r="N18" s="93" t="n">
        <f aca="false">SUM(B18:M18)</f>
        <v>68016</v>
      </c>
      <c r="O18" s="94" t="n">
        <f aca="false">IF(N7=0,0,N18/N7)</f>
        <v>0.02</v>
      </c>
    </row>
    <row r="19" customFormat="false" ht="18" hidden="false" customHeight="true" outlineLevel="0" collapsed="false">
      <c r="A19" s="77" t="s">
        <v>152</v>
      </c>
      <c r="B19" s="97" t="n">
        <f aca="false">B15-B18</f>
        <v>98986.75</v>
      </c>
      <c r="C19" s="97" t="n">
        <f aca="false">C15-C18</f>
        <v>98986.75</v>
      </c>
      <c r="D19" s="97" t="n">
        <f aca="false">D15-D18</f>
        <v>98986.75</v>
      </c>
      <c r="E19" s="97" t="n">
        <f aca="false">E15-E18</f>
        <v>100182.333333333</v>
      </c>
      <c r="F19" s="97" t="n">
        <f aca="false">F15-F18</f>
        <v>100182.333333333</v>
      </c>
      <c r="G19" s="97" t="n">
        <f aca="false">G15-G18</f>
        <v>100182.333333333</v>
      </c>
      <c r="H19" s="97" t="n">
        <f aca="false">H15-H18</f>
        <v>100182.333333333</v>
      </c>
      <c r="I19" s="97" t="n">
        <f aca="false">I15-I18</f>
        <v>100182.333333333</v>
      </c>
      <c r="J19" s="97" t="n">
        <f aca="false">J15-J18</f>
        <v>100182.333333333</v>
      </c>
      <c r="K19" s="97" t="n">
        <f aca="false">K15-K18</f>
        <v>101377.916666667</v>
      </c>
      <c r="L19" s="97" t="n">
        <f aca="false">L15-L18</f>
        <v>101377.916666667</v>
      </c>
      <c r="M19" s="97" t="n">
        <f aca="false">M15-M18</f>
        <v>101377.916666667</v>
      </c>
      <c r="N19" s="98" t="n">
        <f aca="false">SUM(B19:M19)</f>
        <v>1202188</v>
      </c>
      <c r="O19" s="99" t="n">
        <f aca="false">IF(N7=0,0,N19/N7)</f>
        <v>0.353501529051988</v>
      </c>
    </row>
    <row r="20" customFormat="false" ht="15" hidden="false" customHeight="false" outlineLevel="0" collapsed="false">
      <c r="A20" s="109" t="s">
        <v>153</v>
      </c>
      <c r="B20" s="110" t="n">
        <f aca="false">IF(B19&gt;0,B19*0.21,0)</f>
        <v>20787.2175</v>
      </c>
      <c r="C20" s="110" t="n">
        <f aca="false">IF(C19&gt;0,C19*0.21,0)</f>
        <v>20787.2175</v>
      </c>
      <c r="D20" s="110" t="n">
        <f aca="false">IF(D19&gt;0,D19*0.21,0)</f>
        <v>20787.2175</v>
      </c>
      <c r="E20" s="110" t="n">
        <f aca="false">IF(E19&gt;0,E19*0.21,0)</f>
        <v>21038.29</v>
      </c>
      <c r="F20" s="110" t="n">
        <f aca="false">IF(F19&gt;0,F19*0.21,0)</f>
        <v>21038.29</v>
      </c>
      <c r="G20" s="110" t="n">
        <f aca="false">IF(G19&gt;0,G19*0.21,0)</f>
        <v>21038.29</v>
      </c>
      <c r="H20" s="110" t="n">
        <f aca="false">IF(H19&gt;0,H19*0.21,0)</f>
        <v>21038.29</v>
      </c>
      <c r="I20" s="110" t="n">
        <f aca="false">IF(I19&gt;0,I19*0.21,0)</f>
        <v>21038.29</v>
      </c>
      <c r="J20" s="110" t="n">
        <f aca="false">IF(J19&gt;0,J19*0.21,0)</f>
        <v>21038.29</v>
      </c>
      <c r="K20" s="110" t="n">
        <f aca="false">IF(K19&gt;0,K19*0.21,0)</f>
        <v>21289.3625</v>
      </c>
      <c r="L20" s="110" t="n">
        <f aca="false">IF(L19&gt;0,L19*0.21,0)</f>
        <v>21289.3625</v>
      </c>
      <c r="M20" s="110" t="n">
        <f aca="false">IF(M19&gt;0,M19*0.21,0)</f>
        <v>21289.3625</v>
      </c>
      <c r="N20" s="93" t="n">
        <f aca="false">SUM(B20:M20)</f>
        <v>252459.48</v>
      </c>
      <c r="O20" s="94" t="n">
        <f aca="false">IF(N7=0,0,N20/N7)</f>
        <v>0.0742353211009174</v>
      </c>
    </row>
    <row r="21" customFormat="false" ht="15" hidden="false" customHeight="false" outlineLevel="0" collapsed="false">
      <c r="A21" s="77" t="s">
        <v>154</v>
      </c>
      <c r="B21" s="111" t="n">
        <f aca="false">B19-B20</f>
        <v>78199.5325</v>
      </c>
      <c r="C21" s="111" t="n">
        <f aca="false">C19-C20</f>
        <v>78199.5325</v>
      </c>
      <c r="D21" s="111" t="n">
        <f aca="false">D19-D20</f>
        <v>78199.5325</v>
      </c>
      <c r="E21" s="111" t="n">
        <f aca="false">E19-E20</f>
        <v>79144.0433333333</v>
      </c>
      <c r="F21" s="111" t="n">
        <f aca="false">F19-F20</f>
        <v>79144.0433333333</v>
      </c>
      <c r="G21" s="111" t="n">
        <f aca="false">G19-G20</f>
        <v>79144.0433333333</v>
      </c>
      <c r="H21" s="111" t="n">
        <f aca="false">H19-H20</f>
        <v>79144.0433333333</v>
      </c>
      <c r="I21" s="111" t="n">
        <f aca="false">I19-I20</f>
        <v>79144.0433333333</v>
      </c>
      <c r="J21" s="111" t="n">
        <f aca="false">J19-J20</f>
        <v>79144.0433333333</v>
      </c>
      <c r="K21" s="111" t="n">
        <f aca="false">K19-K20</f>
        <v>80088.5541666667</v>
      </c>
      <c r="L21" s="111" t="n">
        <f aca="false">L19-L20</f>
        <v>80088.5541666667</v>
      </c>
      <c r="M21" s="111" t="n">
        <f aca="false">M19-M20</f>
        <v>80088.5541666667</v>
      </c>
      <c r="N21" s="98" t="n">
        <f aca="false">SUM(B21:M21)</f>
        <v>949728.52</v>
      </c>
      <c r="O21" s="99" t="n">
        <f aca="false">IF(N21=0,0,N21/N7)</f>
        <v>0.27926620795107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2">
    <mergeCell ref="A1:P1"/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3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2" customFormat="false" ht="15" hidden="false" customHeight="false" outlineLevel="0" collapsed="false">
      <c r="B2" s="112" t="s">
        <v>155</v>
      </c>
      <c r="C2" s="112"/>
      <c r="D2" s="112"/>
      <c r="E2" s="112"/>
      <c r="F2" s="112"/>
      <c r="G2" s="112"/>
      <c r="H2" s="112"/>
      <c r="I2" s="112"/>
    </row>
    <row r="3" customFormat="false" ht="15" hidden="false" customHeight="false" outlineLevel="0" collapsed="false">
      <c r="B3" s="112"/>
      <c r="C3" s="112"/>
      <c r="D3" s="112"/>
      <c r="E3" s="112"/>
      <c r="F3" s="112"/>
      <c r="G3" s="112"/>
      <c r="H3" s="112"/>
      <c r="I3" s="112"/>
    </row>
  </sheetData>
  <mergeCells count="1">
    <mergeCell ref="B2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7" activeCellId="0" sqref="B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2" width="70"/>
  </cols>
  <sheetData>
    <row r="2" customFormat="false" ht="15.75" hidden="false" customHeight="true" outlineLevel="0" collapsed="false">
      <c r="B2" s="113" t="s">
        <v>156</v>
      </c>
    </row>
    <row r="3" customFormat="false" ht="15.75" hidden="false" customHeight="true" outlineLevel="0" collapsed="false">
      <c r="B3" s="114"/>
    </row>
    <row r="4" customFormat="false" ht="15.75" hidden="false" customHeight="true" outlineLevel="0" collapsed="false">
      <c r="B4" s="115" t="s">
        <v>157</v>
      </c>
    </row>
    <row r="5" customFormat="false" ht="15.75" hidden="false" customHeight="true" outlineLevel="0" collapsed="false">
      <c r="B5" s="114"/>
    </row>
    <row r="6" customFormat="false" ht="15.75" hidden="false" customHeight="true" outlineLevel="0" collapsed="false">
      <c r="B6" s="116" t="s">
        <v>158</v>
      </c>
    </row>
    <row r="7" customFormat="false" ht="15.75" hidden="false" customHeight="true" outlineLevel="0" collapsed="false">
      <c r="B7" s="114" t="s">
        <v>159</v>
      </c>
    </row>
    <row r="8" customFormat="false" ht="15.75" hidden="false" customHeight="true" outlineLevel="0" collapsed="false">
      <c r="B8" s="114" t="s">
        <v>160</v>
      </c>
    </row>
    <row r="9" customFormat="false" ht="15.75" hidden="false" customHeight="true" outlineLevel="0" collapsed="false">
      <c r="B9" s="114" t="s">
        <v>161</v>
      </c>
    </row>
    <row r="10" customFormat="false" ht="15.75" hidden="false" customHeight="true" outlineLevel="0" collapsed="false">
      <c r="B10" s="114"/>
    </row>
    <row r="11" customFormat="false" ht="15.75" hidden="false" customHeight="true" outlineLevel="0" collapsed="false">
      <c r="B11" s="116" t="s">
        <v>162</v>
      </c>
    </row>
    <row r="12" customFormat="false" ht="15.75" hidden="false" customHeight="true" outlineLevel="0" collapsed="false">
      <c r="B12" s="114" t="s">
        <v>163</v>
      </c>
    </row>
    <row r="13" customFormat="false" ht="15.75" hidden="false" customHeight="true" outlineLevel="0" collapsed="false">
      <c r="B13" s="114" t="s">
        <v>164</v>
      </c>
    </row>
    <row r="14" customFormat="false" ht="15.75" hidden="false" customHeight="true" outlineLevel="0" collapsed="false">
      <c r="B14" s="114" t="s">
        <v>165</v>
      </c>
    </row>
    <row r="15" customFormat="false" ht="15.75" hidden="false" customHeight="true" outlineLevel="0" collapsed="false">
      <c r="B15" s="114"/>
    </row>
    <row r="16" customFormat="false" ht="15.75" hidden="false" customHeight="true" outlineLevel="0" collapsed="false">
      <c r="B16" s="116" t="s">
        <v>166</v>
      </c>
    </row>
    <row r="17" customFormat="false" ht="15.75" hidden="false" customHeight="true" outlineLevel="0" collapsed="false">
      <c r="B17" s="114" t="s">
        <v>167</v>
      </c>
    </row>
    <row r="18" customFormat="false" ht="15.75" hidden="false" customHeight="true" outlineLevel="0" collapsed="false">
      <c r="B18" s="114" t="s">
        <v>168</v>
      </c>
    </row>
    <row r="19" customFormat="false" ht="15.75" hidden="false" customHeight="true" outlineLevel="0" collapsed="false">
      <c r="B19" s="114" t="s">
        <v>169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5"/>
  <sheetViews>
    <sheetView showFormulas="false" showGridLines="true" showRowColHeaders="true" showZeros="true" rightToLeft="false" tabSelected="true" showOutlineSymbols="true" defaultGridColor="true" view="normal" topLeftCell="A59" colorId="64" zoomScale="140" zoomScaleNormal="140" zoomScalePageLayoutView="100" workbookViewId="0">
      <selection pane="topLeft" activeCell="J72" activeCellId="0" sqref="J7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2" width="20.66"/>
    <col collapsed="false" customWidth="true" hidden="false" outlineLevel="0" max="15" min="15" style="2" width="34.55"/>
    <col collapsed="false" customWidth="true" hidden="false" outlineLevel="0" max="16" min="16" style="2" width="29"/>
  </cols>
  <sheetData>
    <row r="1" customFormat="false" ht="15.75" hidden="false" customHeight="true" outlineLevel="0" collapsed="false">
      <c r="A1" s="38" t="s">
        <v>170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</row>
    <row r="2" customFormat="false" ht="21.75" hidden="false" customHeight="true" outlineLevel="0" collapsed="false">
      <c r="A2" s="117" t="s">
        <v>171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</row>
    <row r="3" customFormat="false" ht="30" hidden="false" customHeight="true" outlineLevel="0" collapsed="false">
      <c r="A3" s="118" t="s">
        <v>172</v>
      </c>
      <c r="B3" s="119" t="s">
        <v>173</v>
      </c>
      <c r="C3" s="119"/>
      <c r="D3" s="119"/>
      <c r="E3" s="119"/>
      <c r="F3" s="119"/>
      <c r="G3" s="119"/>
      <c r="H3" s="119"/>
      <c r="I3" s="120" t="s">
        <v>174</v>
      </c>
      <c r="J3" s="120"/>
      <c r="K3" s="120"/>
      <c r="L3" s="120"/>
      <c r="M3" s="120"/>
      <c r="N3" s="120"/>
      <c r="O3" s="120"/>
      <c r="P3" s="120"/>
      <c r="Q3" s="120"/>
    </row>
    <row r="4" customFormat="false" ht="30" hidden="false" customHeight="true" outlineLevel="0" collapsed="false">
      <c r="A4" s="121" t="s">
        <v>175</v>
      </c>
      <c r="B4" s="122" t="s">
        <v>176</v>
      </c>
      <c r="C4" s="122"/>
      <c r="D4" s="122"/>
      <c r="E4" s="122"/>
      <c r="F4" s="122"/>
      <c r="G4" s="122"/>
      <c r="H4" s="122"/>
      <c r="I4" s="123" t="s">
        <v>177</v>
      </c>
      <c r="J4" s="123"/>
      <c r="K4" s="123"/>
      <c r="L4" s="123"/>
      <c r="M4" s="123"/>
      <c r="N4" s="123"/>
      <c r="O4" s="123"/>
      <c r="P4" s="123"/>
      <c r="Q4" s="123"/>
    </row>
    <row r="5" customFormat="false" ht="30" hidden="false" customHeight="true" outlineLevel="0" collapsed="false">
      <c r="A5" s="124" t="s">
        <v>178</v>
      </c>
      <c r="B5" s="125" t="s">
        <v>179</v>
      </c>
      <c r="C5" s="125"/>
      <c r="D5" s="125"/>
      <c r="E5" s="125"/>
      <c r="F5" s="125"/>
      <c r="G5" s="125"/>
      <c r="H5" s="125"/>
      <c r="I5" s="126" t="s">
        <v>180</v>
      </c>
      <c r="J5" s="126"/>
      <c r="K5" s="126"/>
      <c r="L5" s="126"/>
      <c r="M5" s="126"/>
      <c r="N5" s="126"/>
      <c r="O5" s="126"/>
      <c r="P5" s="126"/>
      <c r="Q5" s="126"/>
    </row>
    <row r="6" customFormat="false" ht="21.75" hidden="false" customHeight="true" outlineLevel="0" collapsed="false">
      <c r="A6" s="117" t="s">
        <v>181</v>
      </c>
      <c r="B6" s="117"/>
      <c r="C6" s="117"/>
      <c r="D6" s="117"/>
      <c r="E6" s="117"/>
      <c r="F6" s="117"/>
      <c r="G6" s="117"/>
      <c r="H6" s="117"/>
      <c r="I6" s="117"/>
      <c r="J6" s="117"/>
      <c r="K6" s="117"/>
      <c r="L6" s="117"/>
      <c r="M6" s="117"/>
      <c r="N6" s="117"/>
      <c r="O6" s="117"/>
      <c r="P6" s="117"/>
      <c r="Q6" s="117"/>
    </row>
    <row r="7" customFormat="false" ht="19.5" hidden="false" customHeight="true" outlineLevel="0" collapsed="false">
      <c r="A7" s="43" t="s">
        <v>182</v>
      </c>
      <c r="B7" s="127" t="s">
        <v>183</v>
      </c>
      <c r="C7" s="38" t="s">
        <v>184</v>
      </c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</row>
    <row r="8" customFormat="false" ht="13.8" hidden="false" customHeight="false" outlineLevel="0" collapsed="false">
      <c r="A8" s="43" t="s">
        <v>185</v>
      </c>
      <c r="B8" s="128" t="s">
        <v>13</v>
      </c>
      <c r="C8" s="128" t="s">
        <v>14</v>
      </c>
      <c r="D8" s="128" t="s">
        <v>15</v>
      </c>
      <c r="E8" s="128" t="s">
        <v>16</v>
      </c>
      <c r="F8" s="128" t="s">
        <v>17</v>
      </c>
      <c r="G8" s="128" t="s">
        <v>18</v>
      </c>
      <c r="H8" s="128" t="s">
        <v>19</v>
      </c>
      <c r="I8" s="128" t="s">
        <v>20</v>
      </c>
      <c r="J8" s="128" t="s">
        <v>21</v>
      </c>
      <c r="K8" s="128" t="s">
        <v>22</v>
      </c>
      <c r="L8" s="128" t="s">
        <v>23</v>
      </c>
      <c r="M8" s="128" t="s">
        <v>24</v>
      </c>
      <c r="N8" s="129" t="s">
        <v>186</v>
      </c>
      <c r="O8" s="129" t="s">
        <v>187</v>
      </c>
      <c r="P8" s="130" t="s">
        <v>188</v>
      </c>
    </row>
    <row r="9" customFormat="false" ht="13.8" hidden="false" customHeight="false" outlineLevel="0" collapsed="false">
      <c r="A9" s="43" t="s">
        <v>189</v>
      </c>
      <c r="B9" s="44" t="n">
        <v>55</v>
      </c>
      <c r="C9" s="44" t="n">
        <v>55</v>
      </c>
      <c r="D9" s="44" t="n">
        <v>55</v>
      </c>
      <c r="E9" s="44" t="n">
        <v>55</v>
      </c>
      <c r="F9" s="44" t="n">
        <v>55</v>
      </c>
      <c r="G9" s="44" t="n">
        <v>55</v>
      </c>
      <c r="H9" s="44" t="n">
        <v>55</v>
      </c>
      <c r="I9" s="44" t="n">
        <v>55</v>
      </c>
      <c r="J9" s="44" t="n">
        <v>55</v>
      </c>
      <c r="K9" s="44" t="n">
        <v>55</v>
      </c>
      <c r="L9" s="44" t="n">
        <v>55</v>
      </c>
      <c r="M9" s="44" t="n">
        <v>55</v>
      </c>
      <c r="N9" s="131" t="n">
        <f aca="false">AVERAGE(B9:M9)</f>
        <v>55</v>
      </c>
      <c r="O9" s="132" t="s">
        <v>190</v>
      </c>
      <c r="P9" s="133" t="s">
        <v>191</v>
      </c>
    </row>
    <row r="10" customFormat="false" ht="13.8" hidden="false" customHeight="false" outlineLevel="0" collapsed="false">
      <c r="A10" s="43" t="s">
        <v>192</v>
      </c>
      <c r="B10" s="50" t="n">
        <v>4900</v>
      </c>
      <c r="C10" s="50" t="n">
        <v>4900</v>
      </c>
      <c r="D10" s="50" t="n">
        <v>4900</v>
      </c>
      <c r="E10" s="50" t="n">
        <v>4900</v>
      </c>
      <c r="F10" s="50" t="n">
        <v>4900</v>
      </c>
      <c r="G10" s="50" t="n">
        <v>4900</v>
      </c>
      <c r="H10" s="50" t="n">
        <v>4900</v>
      </c>
      <c r="I10" s="50" t="n">
        <v>4900</v>
      </c>
      <c r="J10" s="50" t="n">
        <v>4900</v>
      </c>
      <c r="K10" s="50" t="n">
        <v>4900</v>
      </c>
      <c r="L10" s="50" t="n">
        <v>4900</v>
      </c>
      <c r="M10" s="50" t="n">
        <v>4900</v>
      </c>
      <c r="N10" s="134" t="n">
        <f aca="false">AVERAGE(B10:M10)</f>
        <v>4900</v>
      </c>
      <c r="O10" s="132" t="s">
        <v>193</v>
      </c>
      <c r="P10" s="133" t="s">
        <v>194</v>
      </c>
    </row>
    <row r="11" customFormat="false" ht="13.8" hidden="false" customHeight="false" outlineLevel="0" collapsed="false">
      <c r="A11" s="43" t="s">
        <v>195</v>
      </c>
      <c r="B11" s="135" t="n">
        <v>0.76</v>
      </c>
      <c r="C11" s="135" t="n">
        <v>0.79</v>
      </c>
      <c r="D11" s="135" t="n">
        <v>0.82</v>
      </c>
      <c r="E11" s="135" t="n">
        <v>0.86</v>
      </c>
      <c r="F11" s="135" t="n">
        <v>0.89</v>
      </c>
      <c r="G11" s="135" t="n">
        <v>0.89</v>
      </c>
      <c r="H11" s="135" t="n">
        <v>0.87</v>
      </c>
      <c r="I11" s="135" t="n">
        <v>0.84</v>
      </c>
      <c r="J11" s="135" t="n">
        <v>0.86</v>
      </c>
      <c r="K11" s="135" t="n">
        <v>0.84</v>
      </c>
      <c r="L11" s="135" t="n">
        <v>0.82</v>
      </c>
      <c r="M11" s="135" t="n">
        <v>0.79</v>
      </c>
      <c r="N11" s="136" t="n">
        <f aca="false">AVERAGE(B11:M11)</f>
        <v>0.835833333333333</v>
      </c>
      <c r="O11" s="132" t="s">
        <v>196</v>
      </c>
      <c r="P11" s="133" t="s">
        <v>197</v>
      </c>
    </row>
    <row r="12" s="2" customFormat="true" ht="13.8" hidden="false" customHeight="false" outlineLevel="0" collapsed="false">
      <c r="A12" s="137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</row>
    <row r="13" customFormat="false" ht="21.75" hidden="false" customHeight="true" outlineLevel="0" collapsed="false">
      <c r="A13" s="117" t="s">
        <v>198</v>
      </c>
      <c r="B13" s="117"/>
      <c r="C13" s="117"/>
      <c r="D13" s="117"/>
      <c r="E13" s="117"/>
      <c r="F13" s="117"/>
      <c r="G13" s="117"/>
      <c r="H13" s="117"/>
      <c r="I13" s="117"/>
      <c r="J13" s="117"/>
      <c r="K13" s="117"/>
      <c r="L13" s="117"/>
      <c r="M13" s="117"/>
      <c r="N13" s="117"/>
      <c r="O13" s="117"/>
      <c r="P13" s="117"/>
      <c r="Q13" s="117"/>
    </row>
    <row r="14" customFormat="false" ht="18" hidden="false" customHeight="true" outlineLevel="0" collapsed="false">
      <c r="A14" s="128" t="s">
        <v>199</v>
      </c>
      <c r="B14" s="128" t="s">
        <v>13</v>
      </c>
      <c r="C14" s="128" t="s">
        <v>14</v>
      </c>
      <c r="D14" s="128" t="s">
        <v>15</v>
      </c>
      <c r="E14" s="128" t="s">
        <v>16</v>
      </c>
      <c r="F14" s="128" t="s">
        <v>17</v>
      </c>
      <c r="G14" s="128" t="s">
        <v>18</v>
      </c>
      <c r="H14" s="128" t="s">
        <v>19</v>
      </c>
      <c r="I14" s="128" t="s">
        <v>20</v>
      </c>
      <c r="J14" s="128" t="s">
        <v>21</v>
      </c>
      <c r="K14" s="128" t="s">
        <v>22</v>
      </c>
      <c r="L14" s="128" t="s">
        <v>23</v>
      </c>
      <c r="M14" s="128" t="s">
        <v>24</v>
      </c>
      <c r="N14" s="128" t="s">
        <v>99</v>
      </c>
      <c r="O14" s="128" t="s">
        <v>200</v>
      </c>
    </row>
    <row r="15" customFormat="false" ht="30" hidden="false" customHeight="true" outlineLevel="0" collapsed="false">
      <c r="A15" s="118" t="s">
        <v>172</v>
      </c>
      <c r="B15" s="139" t="n">
        <f aca="false">AVERAGE(RawData!D35,RawData!D36,RawData!D37)</f>
        <v>176666.666666667</v>
      </c>
      <c r="C15" s="139" t="n">
        <f aca="false">AVERAGE(RawData!D35,RawData!D36,RawData!D37)</f>
        <v>176666.666666667</v>
      </c>
      <c r="D15" s="139" t="n">
        <f aca="false">AVERAGE(RawData!D35,RawData!D36,RawData!D37)</f>
        <v>176666.666666667</v>
      </c>
      <c r="E15" s="139" t="n">
        <f aca="false">AVERAGE(RawData!D35,RawData!D36,RawData!D37)</f>
        <v>176666.666666667</v>
      </c>
      <c r="F15" s="139" t="n">
        <f aca="false">AVERAGE(RawData!D35,RawData!D36,RawData!D37)</f>
        <v>176666.666666667</v>
      </c>
      <c r="G15" s="139" t="n">
        <f aca="false">AVERAGE(RawData!D35,RawData!D36,RawData!D37)</f>
        <v>176666.666666667</v>
      </c>
      <c r="H15" s="139" t="n">
        <f aca="false">AVERAGE(RawData!D35,RawData!D36,RawData!D37)</f>
        <v>176666.666666667</v>
      </c>
      <c r="I15" s="139" t="n">
        <f aca="false">AVERAGE(RawData!D35,RawData!D36,RawData!D37)</f>
        <v>176666.666666667</v>
      </c>
      <c r="J15" s="139" t="n">
        <f aca="false">AVERAGE(RawData!D35,RawData!D36,RawData!D37)</f>
        <v>176666.666666667</v>
      </c>
      <c r="K15" s="139" t="n">
        <f aca="false">AVERAGE(RawData!D35,RawData!D36,RawData!D37)</f>
        <v>176666.666666667</v>
      </c>
      <c r="L15" s="139" t="n">
        <f aca="false">AVERAGE(RawData!D35,RawData!D36,RawData!D37)</f>
        <v>176666.666666667</v>
      </c>
      <c r="M15" s="139" t="n">
        <f aca="false">AVERAGE(RawData!D35,RawData!D36,RawData!D37)</f>
        <v>176666.666666667</v>
      </c>
      <c r="N15" s="140" t="n">
        <f aca="false">SUM(B15:M15)</f>
        <v>2120000</v>
      </c>
      <c r="O15" s="141" t="s">
        <v>201</v>
      </c>
    </row>
    <row r="16" customFormat="false" ht="45" hidden="false" customHeight="true" outlineLevel="0" collapsed="false">
      <c r="A16" s="121" t="s">
        <v>175</v>
      </c>
      <c r="B16" s="142" t="n">
        <f aca="false">INTERCEPT(RawData!D26:D37,RawData!C26:C37)+SLOPE(RawData!D26:D37,RawData!C26:C37)*13</f>
        <v>197866.666666667</v>
      </c>
      <c r="C16" s="142" t="n">
        <f aca="false">INTERCEPT(RawData!D26:D37,RawData!C26:C37)+SLOPE(RawData!D26:D37,RawData!C26:C37)*14</f>
        <v>201128.205128205</v>
      </c>
      <c r="D16" s="142" t="n">
        <f aca="false">INTERCEPT(RawData!D26:D37,RawData!C26:C37)+SLOPE(RawData!D26:D37,RawData!C26:C37)*15</f>
        <v>204389.743589744</v>
      </c>
      <c r="E16" s="142" t="n">
        <f aca="false">INTERCEPT(RawData!D26:D37,RawData!C26:C37)+SLOPE(RawData!D26:D37,RawData!C26:C37)*16</f>
        <v>207651.282051282</v>
      </c>
      <c r="F16" s="142" t="n">
        <f aca="false">INTERCEPT(RawData!D26:D37,RawData!C26:C37)+SLOPE(RawData!D26:D37,RawData!C26:C37)*17</f>
        <v>210912.820512821</v>
      </c>
      <c r="G16" s="142" t="n">
        <f aca="false">INTERCEPT(RawData!D26:D37,RawData!C26:C37)+SLOPE(RawData!D26:D37,RawData!C26:C37)*13</f>
        <v>197866.666666667</v>
      </c>
      <c r="H16" s="142" t="n">
        <f aca="false">INTERCEPT(RawData!D26:D37,RawData!C26:C37)+SLOPE(RawData!D26:D37,RawData!C26:C37)*19</f>
        <v>217435.897435897</v>
      </c>
      <c r="I16" s="142" t="n">
        <f aca="false">INTERCEPT(RawData!D26:D37,RawData!C26:C37)+SLOPE(RawData!D26:D37,RawData!C26:C37)*20</f>
        <v>220697.435897436</v>
      </c>
      <c r="J16" s="142" t="n">
        <f aca="false">INTERCEPT(RawData!D26:D37,RawData!C26:C37)+SLOPE(RawData!D26:D37,RawData!C26:C37)*21</f>
        <v>223958.974358974</v>
      </c>
      <c r="K16" s="142" t="n">
        <f aca="false">INTERCEPT(RawData!D26:D37,RawData!C26:C37)+SLOPE(RawData!D26:D37,RawData!C26:C37)*22</f>
        <v>227220.512820513</v>
      </c>
      <c r="L16" s="142" t="n">
        <f aca="false">INTERCEPT(RawData!D26:D37,RawData!C26:C37)+SLOPE(RawData!D26:D37,RawData!C26:C37)*23</f>
        <v>230482.051282051</v>
      </c>
      <c r="M16" s="142" t="n">
        <f aca="false">INTERCEPT(RawData!D26:D37,RawData!C26:C37)+SLOPE(RawData!D26:D37,RawData!C26:C37)*24</f>
        <v>233743.58974359</v>
      </c>
      <c r="N16" s="143" t="n">
        <f aca="false">SUM(B16:M16)</f>
        <v>2573353.84615385</v>
      </c>
      <c r="O16" s="141" t="s">
        <v>202</v>
      </c>
    </row>
    <row r="17" customFormat="false" ht="34.5" hidden="false" customHeight="true" outlineLevel="0" collapsed="false">
      <c r="A17" s="124" t="s">
        <v>178</v>
      </c>
      <c r="B17" s="144" t="n">
        <f aca="false">B9*B10*B11</f>
        <v>204820</v>
      </c>
      <c r="C17" s="144" t="n">
        <f aca="false">C9*C10*C11</f>
        <v>212905</v>
      </c>
      <c r="D17" s="144" t="n">
        <f aca="false">D9*D10*D11</f>
        <v>220990</v>
      </c>
      <c r="E17" s="144" t="n">
        <f aca="false">E9*E10*E11</f>
        <v>231770</v>
      </c>
      <c r="F17" s="144" t="n">
        <f aca="false">F9*F10*F11</f>
        <v>239855</v>
      </c>
      <c r="G17" s="144" t="n">
        <f aca="false">G9*G10*G11</f>
        <v>239855</v>
      </c>
      <c r="H17" s="144" t="n">
        <f aca="false">H9*H10*H11</f>
        <v>234465</v>
      </c>
      <c r="I17" s="144" t="n">
        <f aca="false">I9*I10*I11</f>
        <v>226380</v>
      </c>
      <c r="J17" s="144" t="n">
        <f aca="false">J9*J10*J11</f>
        <v>231770</v>
      </c>
      <c r="K17" s="144" t="n">
        <f aca="false">K9*K10*K11</f>
        <v>226380</v>
      </c>
      <c r="L17" s="144" t="n">
        <f aca="false">L9*L10*L11</f>
        <v>220990</v>
      </c>
      <c r="M17" s="144" t="n">
        <f aca="false">M9*M10*M11</f>
        <v>212905</v>
      </c>
      <c r="N17" s="145" t="n">
        <f aca="false">SUM(B17:M17)</f>
        <v>2703085</v>
      </c>
      <c r="O17" s="141" t="s">
        <v>203</v>
      </c>
    </row>
    <row r="18" customFormat="false" ht="34.5" hidden="false" customHeight="true" outlineLevel="0" collapsed="false">
      <c r="A18" s="146" t="s">
        <v>204</v>
      </c>
      <c r="B18" s="147" t="n">
        <f aca="false">IF($B$8="Flat",B15,IF($B$8="Trend",B16,B17))</f>
        <v>204820</v>
      </c>
      <c r="C18" s="147" t="n">
        <f aca="false">IF($B$8="Flat",C15,IF($B$8="Trend",C16,C17))</f>
        <v>212905</v>
      </c>
      <c r="D18" s="147" t="n">
        <f aca="false">IF($B$8="Flat",D15,IF($B$8="Trend",D16,D17))</f>
        <v>220990</v>
      </c>
      <c r="E18" s="147" t="n">
        <f aca="false">IF($B$8="Flat",E15,IF($B$8="Trend",E16,E17))</f>
        <v>231770</v>
      </c>
      <c r="F18" s="147" t="n">
        <f aca="false">IF($B$8="Flat",F15,IF($B$8="Trend",F16,F17))</f>
        <v>239855</v>
      </c>
      <c r="G18" s="147" t="n">
        <f aca="false">IF($B$8="Flat",G15,IF($B$8="Trend",G16,G17))</f>
        <v>239855</v>
      </c>
      <c r="H18" s="147" t="n">
        <f aca="false">IF($B$8="Flat",H15,IF($B$8="Trend",H16,H17))</f>
        <v>234465</v>
      </c>
      <c r="I18" s="147" t="n">
        <f aca="false">IF($B$8="Flat",I15,IF($B$8="Trend",I16,I17))</f>
        <v>226380</v>
      </c>
      <c r="J18" s="147" t="n">
        <f aca="false">IF($B$8="Flat",J15,IF($B$8="Trend",J16,J17))</f>
        <v>231770</v>
      </c>
      <c r="K18" s="147" t="n">
        <f aca="false">IF($B$8="Flat",K15,IF($B$8="Trend",K16,K17))</f>
        <v>226380</v>
      </c>
      <c r="L18" s="147" t="n">
        <f aca="false">IF($B$8="Flat",L15,IF($B$8="Trend",L16,L17))</f>
        <v>220990</v>
      </c>
      <c r="M18" s="147" t="n">
        <f aca="false">IF($B$8="Flat",M15,IF($B$8="Trend",M16,M17))</f>
        <v>212905</v>
      </c>
      <c r="N18" s="147" t="n">
        <f aca="false">SUM(B18:M18)</f>
        <v>2703085</v>
      </c>
      <c r="O18" s="148"/>
    </row>
    <row r="19" customFormat="false" ht="13.8" hidden="false" customHeight="false" outlineLevel="0" collapsed="false"/>
    <row r="20" customFormat="false" ht="21.75" hidden="false" customHeight="true" outlineLevel="0" collapsed="false">
      <c r="A20" s="117" t="s">
        <v>205</v>
      </c>
      <c r="B20" s="117"/>
      <c r="C20" s="117"/>
      <c r="D20" s="117"/>
      <c r="E20" s="117"/>
      <c r="F20" s="117"/>
      <c r="G20" s="117"/>
      <c r="H20" s="117"/>
      <c r="I20" s="117"/>
      <c r="J20" s="117"/>
      <c r="K20" s="117"/>
      <c r="L20" s="117"/>
      <c r="M20" s="117"/>
      <c r="N20" s="117"/>
      <c r="O20" s="117"/>
      <c r="P20" s="117"/>
      <c r="Q20" s="117"/>
    </row>
    <row r="21" customFormat="false" ht="19.5" hidden="false" customHeight="true" outlineLevel="0" collapsed="false">
      <c r="A21" s="130" t="s">
        <v>142</v>
      </c>
      <c r="B21" s="129" t="s">
        <v>13</v>
      </c>
      <c r="C21" s="129" t="s">
        <v>14</v>
      </c>
      <c r="D21" s="129" t="s">
        <v>15</v>
      </c>
      <c r="E21" s="129" t="s">
        <v>16</v>
      </c>
      <c r="F21" s="129" t="s">
        <v>17</v>
      </c>
      <c r="G21" s="129" t="s">
        <v>18</v>
      </c>
      <c r="H21" s="129" t="s">
        <v>19</v>
      </c>
      <c r="I21" s="129" t="s">
        <v>20</v>
      </c>
      <c r="J21" s="129" t="s">
        <v>21</v>
      </c>
      <c r="K21" s="129" t="s">
        <v>22</v>
      </c>
      <c r="L21" s="129" t="s">
        <v>23</v>
      </c>
      <c r="M21" s="129" t="s">
        <v>24</v>
      </c>
      <c r="N21" s="129" t="s">
        <v>99</v>
      </c>
      <c r="O21" s="129" t="s">
        <v>206</v>
      </c>
      <c r="P21" s="130" t="s">
        <v>207</v>
      </c>
    </row>
    <row r="22" customFormat="false" ht="18" hidden="false" customHeight="true" outlineLevel="0" collapsed="false">
      <c r="A22" s="149" t="s">
        <v>103</v>
      </c>
      <c r="B22" s="150" t="n">
        <f aca="false">B18</f>
        <v>204820</v>
      </c>
      <c r="C22" s="150" t="n">
        <f aca="false">C18</f>
        <v>212905</v>
      </c>
      <c r="D22" s="150" t="n">
        <f aca="false">D18</f>
        <v>220990</v>
      </c>
      <c r="E22" s="150" t="n">
        <f aca="false">E18</f>
        <v>231770</v>
      </c>
      <c r="F22" s="150" t="n">
        <f aca="false">F18</f>
        <v>239855</v>
      </c>
      <c r="G22" s="150" t="n">
        <f aca="false">G18</f>
        <v>239855</v>
      </c>
      <c r="H22" s="150" t="n">
        <f aca="false">H18</f>
        <v>234465</v>
      </c>
      <c r="I22" s="150" t="n">
        <f aca="false">I18</f>
        <v>226380</v>
      </c>
      <c r="J22" s="150" t="n">
        <f aca="false">J18</f>
        <v>231770</v>
      </c>
      <c r="K22" s="150" t="n">
        <f aca="false">K18</f>
        <v>226380</v>
      </c>
      <c r="L22" s="150" t="n">
        <f aca="false">L18</f>
        <v>220990</v>
      </c>
      <c r="M22" s="150" t="n">
        <f aca="false">M18</f>
        <v>212905</v>
      </c>
      <c r="N22" s="151" t="n">
        <f aca="false">SUM(B22:M22)</f>
        <v>2703085</v>
      </c>
      <c r="O22" s="94" t="n">
        <f aca="false">IF(N24=0,0,N22/N24)</f>
        <v>0.823272295739105</v>
      </c>
      <c r="P22" s="152" t="s">
        <v>208</v>
      </c>
    </row>
    <row r="23" customFormat="false" ht="18" hidden="false" customHeight="true" outlineLevel="0" collapsed="false">
      <c r="A23" s="149" t="s">
        <v>105</v>
      </c>
      <c r="B23" s="150" t="n">
        <f aca="false">Drivers!B19*1.094</f>
        <v>48354.8</v>
      </c>
      <c r="C23" s="150" t="n">
        <f aca="false">Drivers!C19*1.094</f>
        <v>48354.8</v>
      </c>
      <c r="D23" s="150" t="n">
        <f aca="false">Drivers!D19*1.094</f>
        <v>48354.8</v>
      </c>
      <c r="E23" s="150" t="n">
        <f aca="false">Drivers!E19*1.094</f>
        <v>48354.8</v>
      </c>
      <c r="F23" s="150" t="n">
        <f aca="false">Drivers!F19*1.094</f>
        <v>48354.8</v>
      </c>
      <c r="G23" s="150" t="n">
        <f aca="false">Drivers!G19*1.094</f>
        <v>48354.8</v>
      </c>
      <c r="H23" s="150" t="n">
        <f aca="false">Drivers!H19*1.094</f>
        <v>48354.8</v>
      </c>
      <c r="I23" s="150" t="n">
        <f aca="false">Drivers!I19*1.094</f>
        <v>48354.8</v>
      </c>
      <c r="J23" s="150" t="n">
        <f aca="false">Drivers!J19*1.094</f>
        <v>48354.8</v>
      </c>
      <c r="K23" s="150" t="n">
        <f aca="false">Drivers!K19*1.094</f>
        <v>48354.8</v>
      </c>
      <c r="L23" s="150" t="n">
        <f aca="false">Drivers!L19*1.094</f>
        <v>48354.8</v>
      </c>
      <c r="M23" s="150" t="n">
        <f aca="false">Drivers!M19*1.094</f>
        <v>48354.8</v>
      </c>
      <c r="N23" s="151" t="n">
        <f aca="false">SUM(B23:M23)</f>
        <v>580257.6</v>
      </c>
      <c r="O23" s="94" t="n">
        <f aca="false">IF(N24=0,0,N23/N24)</f>
        <v>0.176727704260896</v>
      </c>
      <c r="P23" s="152" t="s">
        <v>209</v>
      </c>
    </row>
    <row r="24" customFormat="false" ht="18" hidden="false" customHeight="true" outlineLevel="0" collapsed="false">
      <c r="A24" s="77" t="s">
        <v>210</v>
      </c>
      <c r="B24" s="153" t="n">
        <f aca="false">B22+B23</f>
        <v>253174.8</v>
      </c>
      <c r="C24" s="153" t="n">
        <f aca="false">C22+C23</f>
        <v>261259.8</v>
      </c>
      <c r="D24" s="153" t="n">
        <f aca="false">D22+D23</f>
        <v>269344.8</v>
      </c>
      <c r="E24" s="153" t="n">
        <f aca="false">E22+E23</f>
        <v>280124.8</v>
      </c>
      <c r="F24" s="153" t="n">
        <f aca="false">F22+F23</f>
        <v>288209.8</v>
      </c>
      <c r="G24" s="153" t="n">
        <f aca="false">G22+G23</f>
        <v>288209.8</v>
      </c>
      <c r="H24" s="153" t="n">
        <f aca="false">H22+H23</f>
        <v>282819.8</v>
      </c>
      <c r="I24" s="153" t="n">
        <f aca="false">I22+I23</f>
        <v>274734.8</v>
      </c>
      <c r="J24" s="153" t="n">
        <f aca="false">J22+J23</f>
        <v>280124.8</v>
      </c>
      <c r="K24" s="153" t="n">
        <f aca="false">K22+K23</f>
        <v>274734.8</v>
      </c>
      <c r="L24" s="153" t="n">
        <f aca="false">L22+L23</f>
        <v>269344.8</v>
      </c>
      <c r="M24" s="153" t="n">
        <f aca="false">M22+M23</f>
        <v>261259.8</v>
      </c>
      <c r="N24" s="154" t="n">
        <f aca="false">SUM(B24:M24)</f>
        <v>3283342.6</v>
      </c>
      <c r="O24" s="155" t="n">
        <f aca="false">IF(N24=0,0,N24/N24)</f>
        <v>1</v>
      </c>
      <c r="P24" s="152" t="s">
        <v>211</v>
      </c>
    </row>
    <row r="25" customFormat="false" ht="18" hidden="false" customHeight="true" outlineLevel="0" collapsed="false">
      <c r="A25" s="149"/>
      <c r="B25" s="156"/>
      <c r="C25" s="156"/>
      <c r="D25" s="156"/>
      <c r="E25" s="156"/>
      <c r="F25" s="156"/>
      <c r="G25" s="156"/>
      <c r="H25" s="156"/>
      <c r="I25" s="156"/>
      <c r="J25" s="156"/>
      <c r="K25" s="156"/>
      <c r="L25" s="156"/>
      <c r="M25" s="156"/>
      <c r="N25" s="157"/>
      <c r="O25" s="101"/>
    </row>
    <row r="26" customFormat="false" ht="18" hidden="false" customHeight="true" outlineLevel="0" collapsed="false">
      <c r="A26" s="149" t="s">
        <v>110</v>
      </c>
      <c r="B26" s="150" t="n">
        <f aca="false">B9*Drivers!$E$25</f>
        <v>151822.916666667</v>
      </c>
      <c r="C26" s="150" t="n">
        <f aca="false">C9*Drivers!$E$25</f>
        <v>151822.916666667</v>
      </c>
      <c r="D26" s="150" t="n">
        <f aca="false">D9*Drivers!$E$25</f>
        <v>151822.916666667</v>
      </c>
      <c r="E26" s="150" t="n">
        <f aca="false">E9*Drivers!$E$25</f>
        <v>151822.916666667</v>
      </c>
      <c r="F26" s="150" t="n">
        <f aca="false">F9*Drivers!$E$25</f>
        <v>151822.916666667</v>
      </c>
      <c r="G26" s="150" t="n">
        <f aca="false">G9*Drivers!$E$25</f>
        <v>151822.916666667</v>
      </c>
      <c r="H26" s="150" t="n">
        <f aca="false">H9*Drivers!$E$25</f>
        <v>151822.916666667</v>
      </c>
      <c r="I26" s="150" t="n">
        <f aca="false">I9*Drivers!$E$25</f>
        <v>151822.916666667</v>
      </c>
      <c r="J26" s="150" t="n">
        <f aca="false">J9*Drivers!$E$25</f>
        <v>151822.916666667</v>
      </c>
      <c r="K26" s="150" t="n">
        <f aca="false">K9*Drivers!$E$25</f>
        <v>151822.916666667</v>
      </c>
      <c r="L26" s="150" t="n">
        <f aca="false">L9*Drivers!$E$25</f>
        <v>151822.916666667</v>
      </c>
      <c r="M26" s="150" t="n">
        <f aca="false">M9*Drivers!$E$25</f>
        <v>151822.916666667</v>
      </c>
      <c r="N26" s="151" t="n">
        <f aca="false">SUM(B26:M26)</f>
        <v>1821875</v>
      </c>
      <c r="O26" s="94" t="n">
        <f aca="false">IF(N24=0,0,N26/N24)</f>
        <v>0.554884220732859</v>
      </c>
      <c r="P26" s="152" t="s">
        <v>212</v>
      </c>
    </row>
    <row r="27" customFormat="false" ht="18" hidden="false" customHeight="true" outlineLevel="0" collapsed="false">
      <c r="A27" s="149" t="s">
        <v>112</v>
      </c>
      <c r="B27" s="150" t="n">
        <f aca="false">B24*0.08</f>
        <v>20253.984</v>
      </c>
      <c r="C27" s="150" t="n">
        <f aca="false">C24*0.08</f>
        <v>20900.784</v>
      </c>
      <c r="D27" s="150" t="n">
        <f aca="false">D24*0.08</f>
        <v>21547.584</v>
      </c>
      <c r="E27" s="150" t="n">
        <f aca="false">E24*0.08</f>
        <v>22409.984</v>
      </c>
      <c r="F27" s="150" t="n">
        <f aca="false">F24*0.08</f>
        <v>23056.784</v>
      </c>
      <c r="G27" s="150" t="n">
        <f aca="false">G24*0.08</f>
        <v>23056.784</v>
      </c>
      <c r="H27" s="150" t="n">
        <f aca="false">H24*0.08</f>
        <v>22625.584</v>
      </c>
      <c r="I27" s="150" t="n">
        <f aca="false">I24*0.08</f>
        <v>21978.784</v>
      </c>
      <c r="J27" s="150" t="n">
        <f aca="false">J24*0.08</f>
        <v>22409.984</v>
      </c>
      <c r="K27" s="150" t="n">
        <f aca="false">K24*0.08</f>
        <v>21978.784</v>
      </c>
      <c r="L27" s="150" t="n">
        <f aca="false">L24*0.08</f>
        <v>21547.584</v>
      </c>
      <c r="M27" s="150" t="n">
        <f aca="false">M24*0.08</f>
        <v>20900.784</v>
      </c>
      <c r="N27" s="151" t="n">
        <f aca="false">SUM(B27:M27)</f>
        <v>262667.408</v>
      </c>
      <c r="O27" s="94" t="n">
        <f aca="false">IF(N24=0,0,N27/N24)</f>
        <v>0.08</v>
      </c>
      <c r="P27" s="152" t="s">
        <v>213</v>
      </c>
    </row>
    <row r="28" customFormat="false" ht="18" hidden="false" customHeight="true" outlineLevel="0" collapsed="false">
      <c r="A28" s="149" t="s">
        <v>114</v>
      </c>
      <c r="B28" s="150" t="n">
        <f aca="false">B24*0.04</f>
        <v>10126.992</v>
      </c>
      <c r="C28" s="150" t="n">
        <f aca="false">C24*0.04</f>
        <v>10450.392</v>
      </c>
      <c r="D28" s="150" t="n">
        <f aca="false">D24*0.04</f>
        <v>10773.792</v>
      </c>
      <c r="E28" s="150" t="n">
        <f aca="false">E24*0.04</f>
        <v>11204.992</v>
      </c>
      <c r="F28" s="150" t="n">
        <f aca="false">F24*0.04</f>
        <v>11528.392</v>
      </c>
      <c r="G28" s="150" t="n">
        <f aca="false">G24*0.04</f>
        <v>11528.392</v>
      </c>
      <c r="H28" s="150" t="n">
        <f aca="false">H24*0.04</f>
        <v>11312.792</v>
      </c>
      <c r="I28" s="150" t="n">
        <f aca="false">I24*0.04</f>
        <v>10989.392</v>
      </c>
      <c r="J28" s="150" t="n">
        <f aca="false">J24*0.04</f>
        <v>11204.992</v>
      </c>
      <c r="K28" s="150" t="n">
        <f aca="false">K24*0.04</f>
        <v>10989.392</v>
      </c>
      <c r="L28" s="150" t="n">
        <f aca="false">L24*0.04</f>
        <v>10773.792</v>
      </c>
      <c r="M28" s="150" t="n">
        <f aca="false">M24*0.04</f>
        <v>10450.392</v>
      </c>
      <c r="N28" s="151" t="n">
        <f aca="false">SUM(B28:M28)</f>
        <v>131333.704</v>
      </c>
      <c r="O28" s="94" t="n">
        <f aca="false">IF(N24=0,0,N28/N24)</f>
        <v>0.04</v>
      </c>
      <c r="P28" s="152" t="s">
        <v>214</v>
      </c>
    </row>
    <row r="29" customFormat="false" ht="18" hidden="false" customHeight="true" outlineLevel="0" collapsed="false">
      <c r="A29" s="77" t="s">
        <v>215</v>
      </c>
      <c r="B29" s="153" t="n">
        <f aca="false">B26+B27+B28</f>
        <v>182203.892666667</v>
      </c>
      <c r="C29" s="153" t="n">
        <f aca="false">C26+C27+C28</f>
        <v>183174.092666667</v>
      </c>
      <c r="D29" s="153" t="n">
        <f aca="false">D26+D27+D28</f>
        <v>184144.292666667</v>
      </c>
      <c r="E29" s="153" t="n">
        <f aca="false">E26+E27+E28</f>
        <v>185437.892666667</v>
      </c>
      <c r="F29" s="153" t="n">
        <f aca="false">F26+F27+F28</f>
        <v>186408.092666667</v>
      </c>
      <c r="G29" s="153" t="n">
        <f aca="false">G26+G27+G28</f>
        <v>186408.092666667</v>
      </c>
      <c r="H29" s="153" t="n">
        <f aca="false">H26+H27+H28</f>
        <v>185761.292666667</v>
      </c>
      <c r="I29" s="153" t="n">
        <f aca="false">I26+I27+I28</f>
        <v>184791.092666667</v>
      </c>
      <c r="J29" s="153" t="n">
        <f aca="false">J26+J27+J28</f>
        <v>185437.892666667</v>
      </c>
      <c r="K29" s="153" t="n">
        <f aca="false">K26+K27+K28</f>
        <v>184791.092666667</v>
      </c>
      <c r="L29" s="153" t="n">
        <f aca="false">L26+L27+L28</f>
        <v>184144.292666667</v>
      </c>
      <c r="M29" s="153" t="n">
        <f aca="false">M26+M27+M28</f>
        <v>183174.092666667</v>
      </c>
      <c r="N29" s="154" t="n">
        <f aca="false">SUM(B29:M29)</f>
        <v>2215876.112</v>
      </c>
      <c r="O29" s="155" t="n">
        <f aca="false">IF(N24=0,0,N29/N24)</f>
        <v>0.674884220732859</v>
      </c>
      <c r="P29" s="152" t="s">
        <v>216</v>
      </c>
    </row>
    <row r="30" customFormat="false" ht="18" hidden="false" customHeight="true" outlineLevel="0" collapsed="false">
      <c r="A30" s="149"/>
      <c r="B30" s="156"/>
      <c r="C30" s="156"/>
      <c r="D30" s="156"/>
      <c r="E30" s="156"/>
      <c r="F30" s="156"/>
      <c r="G30" s="156"/>
      <c r="H30" s="156"/>
      <c r="I30" s="156"/>
      <c r="J30" s="156"/>
      <c r="K30" s="156"/>
      <c r="L30" s="156"/>
      <c r="M30" s="156"/>
      <c r="N30" s="157"/>
      <c r="O30" s="101"/>
    </row>
    <row r="31" customFormat="false" ht="18" hidden="false" customHeight="true" outlineLevel="0" collapsed="false">
      <c r="A31" s="77" t="s">
        <v>149</v>
      </c>
      <c r="B31" s="153" t="n">
        <f aca="false">B24-B29</f>
        <v>70970.9073333333</v>
      </c>
      <c r="C31" s="153" t="n">
        <f aca="false">C24-C29</f>
        <v>78085.7073333333</v>
      </c>
      <c r="D31" s="153" t="n">
        <f aca="false">D24-D29</f>
        <v>85200.5073333333</v>
      </c>
      <c r="E31" s="153" t="n">
        <f aca="false">E24-E29</f>
        <v>94686.9073333333</v>
      </c>
      <c r="F31" s="153" t="n">
        <f aca="false">F24-F29</f>
        <v>101801.707333333</v>
      </c>
      <c r="G31" s="153" t="n">
        <f aca="false">G24-G29</f>
        <v>101801.707333333</v>
      </c>
      <c r="H31" s="153" t="n">
        <f aca="false">H24-H29</f>
        <v>97058.5073333333</v>
      </c>
      <c r="I31" s="153" t="n">
        <f aca="false">I24-I29</f>
        <v>89943.7073333333</v>
      </c>
      <c r="J31" s="153" t="n">
        <f aca="false">J24-J29</f>
        <v>94686.9073333333</v>
      </c>
      <c r="K31" s="153" t="n">
        <f aca="false">K24-K29</f>
        <v>89943.7073333333</v>
      </c>
      <c r="L31" s="153" t="n">
        <f aca="false">L24-L29</f>
        <v>85200.5073333333</v>
      </c>
      <c r="M31" s="153" t="n">
        <f aca="false">M24-M29</f>
        <v>78085.7073333333</v>
      </c>
      <c r="N31" s="154" t="n">
        <f aca="false">SUM(B31:M31)</f>
        <v>1067466.488</v>
      </c>
      <c r="O31" s="155" t="n">
        <f aca="false">IF(N24=0,0,N31/N24)</f>
        <v>0.325115779267141</v>
      </c>
      <c r="P31" s="152" t="e">
        <f aca="false">revenue - total cost</f>
        <v>#VALUE!</v>
      </c>
    </row>
    <row r="32" customFormat="false" ht="18" hidden="false" customHeight="true" outlineLevel="0" collapsed="false">
      <c r="A32" s="105" t="s">
        <v>62</v>
      </c>
      <c r="B32" s="147" t="n">
        <f aca="false">B31</f>
        <v>70970.9073333333</v>
      </c>
      <c r="C32" s="147" t="n">
        <f aca="false">C31</f>
        <v>78085.7073333333</v>
      </c>
      <c r="D32" s="147" t="n">
        <f aca="false">D31</f>
        <v>85200.5073333333</v>
      </c>
      <c r="E32" s="147" t="n">
        <f aca="false">E31</f>
        <v>94686.9073333333</v>
      </c>
      <c r="F32" s="147" t="n">
        <f aca="false">F31</f>
        <v>101801.707333333</v>
      </c>
      <c r="G32" s="147" t="n">
        <f aca="false">G31</f>
        <v>101801.707333333</v>
      </c>
      <c r="H32" s="147" t="n">
        <f aca="false">H31</f>
        <v>97058.5073333333</v>
      </c>
      <c r="I32" s="147" t="n">
        <f aca="false">I31</f>
        <v>89943.7073333333</v>
      </c>
      <c r="J32" s="147" t="n">
        <f aca="false">J31</f>
        <v>94686.9073333333</v>
      </c>
      <c r="K32" s="147" t="n">
        <f aca="false">K31</f>
        <v>89943.7073333333</v>
      </c>
      <c r="L32" s="147" t="n">
        <f aca="false">L31</f>
        <v>85200.5073333333</v>
      </c>
      <c r="M32" s="147" t="n">
        <f aca="false">M31</f>
        <v>78085.7073333333</v>
      </c>
      <c r="N32" s="147" t="n">
        <f aca="false">SUM(B32:M32)</f>
        <v>1067466.488</v>
      </c>
      <c r="O32" s="158" t="n">
        <f aca="false">IF(N24=0,0,N32/N24)</f>
        <v>0.325115779267141</v>
      </c>
      <c r="P32" s="152" t="s">
        <v>217</v>
      </c>
    </row>
    <row r="33" customFormat="false" ht="18" hidden="false" customHeight="true" outlineLevel="0" collapsed="false">
      <c r="A33" s="149" t="s">
        <v>63</v>
      </c>
      <c r="B33" s="108" t="n">
        <f aca="false">IF(B24=0,0,B32/B24)</f>
        <v>0.280323742068063</v>
      </c>
      <c r="C33" s="108" t="n">
        <f aca="false">IF(C24=0,0,C32/C24)</f>
        <v>0.298881448019685</v>
      </c>
      <c r="D33" s="108" t="n">
        <f aca="false">IF(D24=0,0,D32/D24)</f>
        <v>0.316325050022623</v>
      </c>
      <c r="E33" s="108" t="n">
        <f aca="false">IF(E24=0,0,E32/E24)</f>
        <v>0.338016867243933</v>
      </c>
      <c r="F33" s="108" t="n">
        <f aca="false">IF(F24=0,0,F32/F24)</f>
        <v>0.353220838893519</v>
      </c>
      <c r="G33" s="108" t="n">
        <f aca="false">IF(G24=0,0,G32/G24)</f>
        <v>0.353220838893519</v>
      </c>
      <c r="H33" s="108" t="n">
        <f aca="false">IF(H24=0,0,H32/H24)</f>
        <v>0.343181443920593</v>
      </c>
      <c r="I33" s="108" t="n">
        <f aca="false">IF(I24=0,0,I32/I24)</f>
        <v>0.327383743644174</v>
      </c>
      <c r="J33" s="108" t="n">
        <f aca="false">IF(J24=0,0,J32/J24)</f>
        <v>0.338016867243933</v>
      </c>
      <c r="K33" s="108" t="n">
        <f aca="false">IF(K24=0,0,K32/K24)</f>
        <v>0.327383743644174</v>
      </c>
      <c r="L33" s="108" t="n">
        <f aca="false">IF(L24=0,0,L32/L24)</f>
        <v>0.316325050022623</v>
      </c>
      <c r="M33" s="108" t="n">
        <f aca="false">IF(M24=0,0,M32/M24)</f>
        <v>0.298881448019685</v>
      </c>
      <c r="N33" s="94" t="n">
        <f aca="false">IF(N24=0,0,N32/N24)</f>
        <v>0.325115779267141</v>
      </c>
      <c r="O33" s="101"/>
      <c r="P33" s="152" t="s">
        <v>218</v>
      </c>
    </row>
    <row r="34" customFormat="false" ht="18" hidden="false" customHeight="true" outlineLevel="0" collapsed="false">
      <c r="A34" s="149"/>
      <c r="B34" s="156"/>
      <c r="C34" s="156"/>
      <c r="D34" s="156"/>
      <c r="E34" s="156"/>
      <c r="F34" s="156"/>
      <c r="G34" s="156"/>
      <c r="H34" s="156"/>
      <c r="I34" s="156"/>
      <c r="J34" s="156"/>
      <c r="K34" s="156"/>
      <c r="L34" s="156"/>
      <c r="M34" s="156"/>
      <c r="N34" s="157"/>
      <c r="O34" s="101"/>
    </row>
    <row r="35" customFormat="false" ht="18" hidden="false" customHeight="true" outlineLevel="0" collapsed="false">
      <c r="A35" s="109" t="s">
        <v>151</v>
      </c>
      <c r="B35" s="159" t="n">
        <f aca="false">B24*0.02</f>
        <v>5063.496</v>
      </c>
      <c r="C35" s="159" t="n">
        <f aca="false">C24*0.02</f>
        <v>5225.196</v>
      </c>
      <c r="D35" s="159" t="n">
        <f aca="false">D24*0.02</f>
        <v>5386.896</v>
      </c>
      <c r="E35" s="159" t="n">
        <f aca="false">E24*0.02</f>
        <v>5602.496</v>
      </c>
      <c r="F35" s="159" t="n">
        <f aca="false">F24*0.02</f>
        <v>5764.196</v>
      </c>
      <c r="G35" s="159" t="n">
        <f aca="false">G24*0.02</f>
        <v>5764.196</v>
      </c>
      <c r="H35" s="159" t="n">
        <f aca="false">H24*0.02</f>
        <v>5656.396</v>
      </c>
      <c r="I35" s="159" t="n">
        <f aca="false">I24*0.02</f>
        <v>5494.696</v>
      </c>
      <c r="J35" s="159" t="n">
        <f aca="false">J24*0.02</f>
        <v>5602.496</v>
      </c>
      <c r="K35" s="159" t="n">
        <f aca="false">K24*0.02</f>
        <v>5494.696</v>
      </c>
      <c r="L35" s="159" t="n">
        <f aca="false">L24*0.02</f>
        <v>5386.896</v>
      </c>
      <c r="M35" s="159" t="n">
        <f aca="false">M24*0.02</f>
        <v>5225.196</v>
      </c>
      <c r="N35" s="160" t="n">
        <f aca="false">SUM(B35:M35)</f>
        <v>65666.852</v>
      </c>
      <c r="O35" s="161" t="n">
        <f aca="false">IF(N24=0,0,N35/N24)</f>
        <v>0.02</v>
      </c>
      <c r="P35" s="152" t="s">
        <v>219</v>
      </c>
    </row>
    <row r="36" customFormat="false" ht="18" hidden="false" customHeight="true" outlineLevel="0" collapsed="false">
      <c r="A36" s="77" t="s">
        <v>152</v>
      </c>
      <c r="B36" s="153" t="n">
        <f aca="false">B32-B35</f>
        <v>65907.4113333333</v>
      </c>
      <c r="C36" s="153" t="n">
        <f aca="false">C32-C35</f>
        <v>72860.5113333333</v>
      </c>
      <c r="D36" s="153" t="n">
        <f aca="false">D32-D35</f>
        <v>79813.6113333334</v>
      </c>
      <c r="E36" s="153" t="n">
        <f aca="false">E32-E35</f>
        <v>89084.4113333333</v>
      </c>
      <c r="F36" s="153" t="n">
        <f aca="false">F32-F35</f>
        <v>96037.5113333333</v>
      </c>
      <c r="G36" s="153" t="n">
        <f aca="false">G32-G35</f>
        <v>96037.5113333333</v>
      </c>
      <c r="H36" s="153" t="n">
        <f aca="false">H32-H35</f>
        <v>91402.1113333334</v>
      </c>
      <c r="I36" s="153" t="n">
        <f aca="false">I32-I35</f>
        <v>84449.0113333333</v>
      </c>
      <c r="J36" s="153" t="n">
        <f aca="false">J32-J35</f>
        <v>89084.4113333333</v>
      </c>
      <c r="K36" s="153" t="n">
        <f aca="false">K32-K35</f>
        <v>84449.0113333333</v>
      </c>
      <c r="L36" s="153" t="n">
        <f aca="false">L32-L35</f>
        <v>79813.6113333334</v>
      </c>
      <c r="M36" s="153" t="n">
        <f aca="false">M32-M35</f>
        <v>72860.5113333333</v>
      </c>
      <c r="N36" s="154" t="n">
        <f aca="false">SUM(B36:M36)</f>
        <v>1001799.636</v>
      </c>
      <c r="O36" s="155" t="n">
        <f aca="false">IF(N24=0,0,N36/N24)</f>
        <v>0.305115779267141</v>
      </c>
      <c r="P36" s="152" t="s">
        <v>220</v>
      </c>
    </row>
    <row r="37" customFormat="false" ht="18" hidden="false" customHeight="true" outlineLevel="0" collapsed="false">
      <c r="A37" s="109" t="s">
        <v>221</v>
      </c>
      <c r="B37" s="159" t="n">
        <f aca="false">IF(B36&gt;0,B36*0.21,0)</f>
        <v>13840.55638</v>
      </c>
      <c r="C37" s="159" t="n">
        <f aca="false">IF(C36&gt;0,C36*0.21,0)</f>
        <v>15300.70738</v>
      </c>
      <c r="D37" s="159" t="n">
        <f aca="false">IF(D36&gt;0,D36*0.21,0)</f>
        <v>16760.85838</v>
      </c>
      <c r="E37" s="159" t="n">
        <f aca="false">IF(E36&gt;0,E36*0.21,0)</f>
        <v>18707.72638</v>
      </c>
      <c r="F37" s="159" t="n">
        <f aca="false">IF(F36&gt;0,F36*0.21,0)</f>
        <v>20167.87738</v>
      </c>
      <c r="G37" s="159" t="n">
        <f aca="false">IF(G36&gt;0,G36*0.21,0)</f>
        <v>20167.87738</v>
      </c>
      <c r="H37" s="159" t="n">
        <f aca="false">IF(H36&gt;0,H36*0.21,0)</f>
        <v>19194.44338</v>
      </c>
      <c r="I37" s="159" t="n">
        <f aca="false">IF(I36&gt;0,I36*0.21,0)</f>
        <v>17734.29238</v>
      </c>
      <c r="J37" s="159" t="n">
        <f aca="false">IF(J36&gt;0,J36*0.21,0)</f>
        <v>18707.72638</v>
      </c>
      <c r="K37" s="159" t="n">
        <f aca="false">IF(K36&gt;0,K36*0.21,0)</f>
        <v>17734.29238</v>
      </c>
      <c r="L37" s="159" t="n">
        <f aca="false">IF(L36&gt;0,L36*0.21,0)</f>
        <v>16760.85838</v>
      </c>
      <c r="M37" s="159" t="n">
        <f aca="false">IF(M36&gt;0,M36*0.21,0)</f>
        <v>15300.70738</v>
      </c>
      <c r="N37" s="160" t="n">
        <f aca="false">SUM(B37:M37)</f>
        <v>210377.92356</v>
      </c>
      <c r="O37" s="161" t="n">
        <f aca="false">IF(N24=0,0,N37/N24)</f>
        <v>0.0640743136460996</v>
      </c>
      <c r="P37" s="152" t="s">
        <v>222</v>
      </c>
    </row>
    <row r="38" customFormat="false" ht="18" hidden="false" customHeight="true" outlineLevel="0" collapsed="false">
      <c r="A38" s="77" t="s">
        <v>154</v>
      </c>
      <c r="B38" s="153" t="n">
        <f aca="false">B36-B37</f>
        <v>52066.8549533333</v>
      </c>
      <c r="C38" s="153" t="n">
        <f aca="false">C36-C37</f>
        <v>57559.8039533333</v>
      </c>
      <c r="D38" s="153" t="n">
        <f aca="false">D36-D37</f>
        <v>63052.7529533333</v>
      </c>
      <c r="E38" s="153" t="n">
        <f aca="false">E36-E37</f>
        <v>70376.6849533333</v>
      </c>
      <c r="F38" s="153" t="n">
        <f aca="false">F36-F37</f>
        <v>75869.6339533333</v>
      </c>
      <c r="G38" s="153" t="n">
        <f aca="false">G36-G37</f>
        <v>75869.6339533333</v>
      </c>
      <c r="H38" s="153" t="n">
        <f aca="false">H36-H37</f>
        <v>72207.6679533334</v>
      </c>
      <c r="I38" s="153" t="n">
        <f aca="false">I36-I37</f>
        <v>66714.7189533333</v>
      </c>
      <c r="J38" s="153" t="n">
        <f aca="false">J36-J37</f>
        <v>70376.6849533333</v>
      </c>
      <c r="K38" s="153" t="n">
        <f aca="false">K36-K37</f>
        <v>66714.7189533333</v>
      </c>
      <c r="L38" s="153" t="n">
        <f aca="false">L36-L37</f>
        <v>63052.7529533333</v>
      </c>
      <c r="M38" s="153" t="n">
        <f aca="false">M36-M37</f>
        <v>57559.8039533333</v>
      </c>
      <c r="N38" s="154" t="n">
        <f aca="false">SUM(B38:M38)</f>
        <v>791421.71244</v>
      </c>
      <c r="O38" s="155" t="n">
        <f aca="false">IF(N24=0,0,N38/N24)</f>
        <v>0.241041465621041</v>
      </c>
      <c r="P38" s="152" t="s">
        <v>223</v>
      </c>
    </row>
    <row r="39" customFormat="false" ht="13.8" hidden="false" customHeight="false" outlineLevel="0" collapsed="false"/>
    <row r="40" customFormat="false" ht="21.75" hidden="false" customHeight="true" outlineLevel="0" collapsed="false">
      <c r="A40" s="117" t="s">
        <v>224</v>
      </c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</row>
    <row r="41" customFormat="false" ht="13.5" hidden="false" customHeight="true" outlineLevel="0" collapsed="false">
      <c r="A41" s="38" t="s">
        <v>225</v>
      </c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</row>
    <row r="42" customFormat="false" ht="18" hidden="false" customHeight="true" outlineLevel="0" collapsed="false"/>
    <row r="43" customFormat="false" ht="18" hidden="false" customHeight="true" outlineLevel="0" collapsed="false">
      <c r="A43" s="137" t="s">
        <v>226</v>
      </c>
      <c r="B43" s="127" t="s">
        <v>227</v>
      </c>
    </row>
    <row r="44" customFormat="false" ht="13.8" hidden="false" customHeight="false" outlineLevel="0" collapsed="false">
      <c r="A44" s="39" t="s">
        <v>228</v>
      </c>
      <c r="B44" s="39"/>
      <c r="C44" s="39"/>
      <c r="D44" s="39"/>
      <c r="E44" s="39"/>
      <c r="F44" s="39"/>
      <c r="G44" s="39"/>
      <c r="H44" s="39"/>
    </row>
    <row r="45" customFormat="false" ht="19.5" hidden="false" customHeight="true" outlineLevel="0" collapsed="false">
      <c r="A45" s="129" t="s">
        <v>229</v>
      </c>
      <c r="B45" s="129" t="s">
        <v>230</v>
      </c>
      <c r="C45" s="129" t="s">
        <v>231</v>
      </c>
      <c r="D45" s="129" t="s">
        <v>232</v>
      </c>
      <c r="E45" s="129" t="s">
        <v>233</v>
      </c>
      <c r="F45" s="129" t="s">
        <v>234</v>
      </c>
      <c r="G45" s="129" t="s">
        <v>235</v>
      </c>
      <c r="H45" s="129" t="s">
        <v>236</v>
      </c>
    </row>
    <row r="46" customFormat="false" ht="30" hidden="false" customHeight="true" outlineLevel="0" collapsed="false">
      <c r="A46" s="162" t="s">
        <v>227</v>
      </c>
      <c r="B46" s="163" t="n">
        <v>55</v>
      </c>
      <c r="C46" s="163" t="n">
        <v>4900</v>
      </c>
      <c r="D46" s="163" t="s">
        <v>237</v>
      </c>
      <c r="E46" s="164" t="n">
        <f aca="false">55*4900*0.82*12+N23</f>
        <v>3232137.6</v>
      </c>
      <c r="F46" s="165" t="n">
        <f aca="false">(55*4900*0.82*12+N23)-(55*Drivers!$E$25*12)-(55*4900*0.82*12+N23)*0.12</f>
        <v>1022406.088</v>
      </c>
      <c r="G46" s="166" t="s">
        <v>238</v>
      </c>
      <c r="H46" s="167" t="s">
        <v>239</v>
      </c>
    </row>
    <row r="47" customFormat="false" ht="30" hidden="false" customHeight="true" outlineLevel="0" collapsed="false">
      <c r="A47" s="168" t="s">
        <v>240</v>
      </c>
      <c r="B47" s="169" t="n">
        <v>60</v>
      </c>
      <c r="C47" s="169" t="n">
        <v>5000</v>
      </c>
      <c r="D47" s="169" t="s">
        <v>241</v>
      </c>
      <c r="E47" s="170" t="n">
        <f aca="false">60*5000*0.86*12+N23</f>
        <v>3676257.6</v>
      </c>
      <c r="F47" s="171" t="n">
        <f aca="false">(60*5000*0.86*12+N23)-(60*Drivers!$E$25*12)-(60*5000*0.86*12+N23)*0.12</f>
        <v>1247606.688</v>
      </c>
      <c r="G47" s="171" t="n">
        <f aca="false">F47-F46</f>
        <v>225200.6</v>
      </c>
      <c r="H47" s="172" t="s">
        <v>242</v>
      </c>
    </row>
    <row r="48" customFormat="false" ht="30" hidden="false" customHeight="true" outlineLevel="0" collapsed="false">
      <c r="A48" s="173" t="s">
        <v>243</v>
      </c>
      <c r="B48" s="174" t="n">
        <v>50</v>
      </c>
      <c r="C48" s="174" t="n">
        <v>4700</v>
      </c>
      <c r="D48" s="174" t="s">
        <v>244</v>
      </c>
      <c r="E48" s="175" t="n">
        <f aca="false">50*4700*0.78*12+N23</f>
        <v>2779857.6</v>
      </c>
      <c r="F48" s="176" t="n">
        <f aca="false">(50*4700*0.78*12+N23)-(50*Drivers!$E$25*12)-(50*4700*0.78*12+N23)*0.12</f>
        <v>790024.687999998</v>
      </c>
      <c r="G48" s="176" t="n">
        <f aca="false">F48-F46</f>
        <v>-232381.4</v>
      </c>
      <c r="H48" s="177" t="s">
        <v>245</v>
      </c>
    </row>
    <row r="49" customFormat="false" ht="13.8" hidden="false" customHeight="false" outlineLevel="0" collapsed="false"/>
    <row r="50" customFormat="false" ht="21.75" hidden="false" customHeight="true" outlineLevel="0" collapsed="false">
      <c r="A50" s="117" t="s">
        <v>246</v>
      </c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</row>
    <row r="51" customFormat="false" ht="19.5" hidden="false" customHeight="true" outlineLevel="0" collapsed="false">
      <c r="A51" s="130" t="s">
        <v>142</v>
      </c>
      <c r="B51" s="129" t="s">
        <v>13</v>
      </c>
      <c r="C51" s="129" t="s">
        <v>14</v>
      </c>
      <c r="D51" s="129" t="s">
        <v>15</v>
      </c>
      <c r="E51" s="129" t="s">
        <v>16</v>
      </c>
      <c r="F51" s="129" t="s">
        <v>17</v>
      </c>
      <c r="G51" s="129" t="s">
        <v>18</v>
      </c>
      <c r="H51" s="129" t="s">
        <v>19</v>
      </c>
      <c r="I51" s="129" t="s">
        <v>20</v>
      </c>
      <c r="J51" s="129" t="s">
        <v>21</v>
      </c>
      <c r="K51" s="129" t="s">
        <v>22</v>
      </c>
      <c r="L51" s="129" t="s">
        <v>23</v>
      </c>
      <c r="M51" s="129" t="s">
        <v>24</v>
      </c>
      <c r="N51" s="129" t="s">
        <v>99</v>
      </c>
      <c r="O51" s="129" t="s">
        <v>247</v>
      </c>
      <c r="P51" s="130" t="s">
        <v>32</v>
      </c>
    </row>
    <row r="52" customFormat="false" ht="18" hidden="false" customHeight="true" outlineLevel="0" collapsed="false">
      <c r="A52" s="149" t="s">
        <v>103</v>
      </c>
      <c r="B52" s="150" t="n">
        <f aca="false">(IF($B$43="Base",55,IF($B$43="Upside",60,50)))*(IF($B$43="Base",4900,IF($B$43="Upside",5000,4700)))*(IF($B$43="Base",0.76,IF($B$43="Upside",0.8,0.72)))</f>
        <v>204820</v>
      </c>
      <c r="C52" s="150" t="n">
        <f aca="false">(IF($B$43="Base",55,IF($B$43="Upside",60,50)))*(IF($B$43="Base",4900,IF($B$43="Upside",5000,4700)))*(IF($B$43="Base",0.79,IF($B$43="Upside",0.83,0.75)))</f>
        <v>212905</v>
      </c>
      <c r="D52" s="150" t="n">
        <f aca="false">(IF($B$43="Base",55,IF($B$43="Upside",60,50)))*(IF($B$43="Base",4900,IF($B$43="Upside",5000,4700)))*(IF($B$43="Base",0.82,IF($B$43="Upside",0.86,0.78)))</f>
        <v>220990</v>
      </c>
      <c r="E52" s="150" t="n">
        <f aca="false">(IF($B$43="Base",55,IF($B$43="Upside",60,50)))*(IF($B$43="Base",4900,IF($B$43="Upside",5000,4700)))*(IF($B$43="Base",0.86,IF($B$43="Upside",0.9,0.82)))</f>
        <v>231770</v>
      </c>
      <c r="F52" s="150" t="n">
        <f aca="false">(IF($B$43="Base",55,IF($B$43="Upside",60,50)))*(IF($B$43="Base",4900,IF($B$43="Upside",5000,4700)))*(IF($B$43="Base",0.89,IF($B$43="Upside",0.93,0.85)))</f>
        <v>239855</v>
      </c>
      <c r="G52" s="150" t="n">
        <f aca="false">(IF($B$43="Base",55,IF($B$43="Upside",60,50)))*(IF($B$43="Base",4900,IF($B$43="Upside",5000,4700)))*(IF($B$43="Base",0.89,IF($B$43="Upside",0.93,0.85)))</f>
        <v>239855</v>
      </c>
      <c r="H52" s="150" t="n">
        <f aca="false">(IF($B$43="Base",55,IF($B$43="Upside",60,50)))*(IF($B$43="Base",4900,IF($B$43="Upside",5000,4700)))*(IF($B$43="Base",0.87,IF($B$43="Upside",0.91,0.83)))</f>
        <v>234465</v>
      </c>
      <c r="I52" s="150" t="n">
        <f aca="false">(IF($B$43="Base",55,IF($B$43="Upside",60,50)))*(IF($B$43="Base",4900,IF($B$43="Upside",5000,4700)))*(IF($B$43="Base",0.84,IF($B$43="Upside",0.88,0.8)))</f>
        <v>226380</v>
      </c>
      <c r="J52" s="150" t="n">
        <f aca="false">(IF($B$43="Base",55,IF($B$43="Upside",60,50)))*(IF($B$43="Base",4900,IF($B$43="Upside",5000,4700)))*(IF($B$43="Base",0.86,IF($B$43="Upside",0.9,0.82)))</f>
        <v>231770</v>
      </c>
      <c r="K52" s="150" t="n">
        <f aca="false">(IF($B$43="Base",55,IF($B$43="Upside",60,50)))*(IF($B$43="Base",4900,IF($B$43="Upside",5000,4700)))*(IF($B$43="Base",0.84,IF($B$43="Upside",0.88,0.8)))</f>
        <v>226380</v>
      </c>
      <c r="L52" s="150" t="n">
        <f aca="false">(IF($B$43="Base",55,IF($B$43="Upside",60,50)))*(IF($B$43="Base",4900,IF($B$43="Upside",5000,4700)))*(IF($B$43="Base",0.82,IF($B$43="Upside",0.86,0.78)))</f>
        <v>220990</v>
      </c>
      <c r="M52" s="150" t="n">
        <f aca="false">(IF($B$43="Base",55,IF($B$43="Upside",60,50)))*(IF($B$43="Base",4900,IF($B$43="Upside",5000,4700)))*(IF($B$43="Base",0.79,IF($B$43="Upside",0.83,0.75)))</f>
        <v>212905</v>
      </c>
      <c r="N52" s="151" t="n">
        <f aca="false">SUM(B52:M52)</f>
        <v>2703085</v>
      </c>
      <c r="O52" s="178" t="n">
        <f aca="false">IF(N54=0,0,N52/N54)</f>
        <v>0.823272295739105</v>
      </c>
      <c r="P52" s="152" t="s">
        <v>248</v>
      </c>
    </row>
    <row r="53" customFormat="false" ht="18" hidden="false" customHeight="true" outlineLevel="0" collapsed="false">
      <c r="A53" s="149" t="s">
        <v>105</v>
      </c>
      <c r="B53" s="150" t="n">
        <f aca="false">B23</f>
        <v>48354.8</v>
      </c>
      <c r="C53" s="150" t="n">
        <f aca="false">C23</f>
        <v>48354.8</v>
      </c>
      <c r="D53" s="150" t="n">
        <f aca="false">D23</f>
        <v>48354.8</v>
      </c>
      <c r="E53" s="150" t="n">
        <f aca="false">E23</f>
        <v>48354.8</v>
      </c>
      <c r="F53" s="150" t="n">
        <f aca="false">F23</f>
        <v>48354.8</v>
      </c>
      <c r="G53" s="150" t="n">
        <f aca="false">G23</f>
        <v>48354.8</v>
      </c>
      <c r="H53" s="150" t="n">
        <f aca="false">H23</f>
        <v>48354.8</v>
      </c>
      <c r="I53" s="150" t="n">
        <f aca="false">I23</f>
        <v>48354.8</v>
      </c>
      <c r="J53" s="150" t="n">
        <f aca="false">J23</f>
        <v>48354.8</v>
      </c>
      <c r="K53" s="150" t="n">
        <f aca="false">K23</f>
        <v>48354.8</v>
      </c>
      <c r="L53" s="150" t="n">
        <f aca="false">L23</f>
        <v>48354.8</v>
      </c>
      <c r="M53" s="150" t="n">
        <f aca="false">M23</f>
        <v>48354.8</v>
      </c>
      <c r="N53" s="151" t="n">
        <f aca="false">SUM(B53:M53)</f>
        <v>580257.6</v>
      </c>
      <c r="O53" s="178" t="n">
        <f aca="false">IF(N54=0,0,N53/N54)</f>
        <v>0.176727704260896</v>
      </c>
      <c r="P53" s="152" t="s">
        <v>249</v>
      </c>
    </row>
    <row r="54" customFormat="false" ht="18" hidden="false" customHeight="true" outlineLevel="0" collapsed="false">
      <c r="A54" s="77" t="s">
        <v>210</v>
      </c>
      <c r="B54" s="153" t="n">
        <f aca="false">B52+B53</f>
        <v>253174.8</v>
      </c>
      <c r="C54" s="153" t="n">
        <f aca="false">C52+C53</f>
        <v>261259.8</v>
      </c>
      <c r="D54" s="153" t="n">
        <f aca="false">D52+D53</f>
        <v>269344.8</v>
      </c>
      <c r="E54" s="153" t="n">
        <f aca="false">E52+E53</f>
        <v>280124.8</v>
      </c>
      <c r="F54" s="153" t="n">
        <f aca="false">F52+F53</f>
        <v>288209.8</v>
      </c>
      <c r="G54" s="153" t="n">
        <f aca="false">G52+G53</f>
        <v>288209.8</v>
      </c>
      <c r="H54" s="153" t="n">
        <f aca="false">H52+H53</f>
        <v>282819.8</v>
      </c>
      <c r="I54" s="153" t="n">
        <f aca="false">I52+I53</f>
        <v>274734.8</v>
      </c>
      <c r="J54" s="153" t="n">
        <f aca="false">J52+J53</f>
        <v>280124.8</v>
      </c>
      <c r="K54" s="153" t="n">
        <f aca="false">K52+K53</f>
        <v>274734.8</v>
      </c>
      <c r="L54" s="153" t="n">
        <f aca="false">L52+L53</f>
        <v>269344.8</v>
      </c>
      <c r="M54" s="153" t="n">
        <f aca="false">M52+M53</f>
        <v>261259.8</v>
      </c>
      <c r="N54" s="154" t="n">
        <f aca="false">SUM(B54:M54)</f>
        <v>3283342.6</v>
      </c>
      <c r="O54" s="179" t="n">
        <f aca="false">IF(N54=0,0,N54/N54)</f>
        <v>1</v>
      </c>
      <c r="P54" s="152" t="s">
        <v>211</v>
      </c>
    </row>
    <row r="55" customFormat="false" ht="18" hidden="false" customHeight="true" outlineLevel="0" collapsed="false">
      <c r="A55" s="149"/>
      <c r="B55" s="156"/>
      <c r="C55" s="156"/>
      <c r="D55" s="156"/>
      <c r="E55" s="156"/>
      <c r="F55" s="156"/>
      <c r="G55" s="156"/>
      <c r="H55" s="156"/>
      <c r="I55" s="156"/>
      <c r="J55" s="156"/>
      <c r="K55" s="156"/>
      <c r="L55" s="156"/>
      <c r="M55" s="156"/>
      <c r="N55" s="157"/>
      <c r="O55" s="101"/>
    </row>
    <row r="56" customFormat="false" ht="18" hidden="false" customHeight="true" outlineLevel="0" collapsed="false">
      <c r="A56" s="149" t="s">
        <v>110</v>
      </c>
      <c r="B56" s="150" t="n">
        <f aca="false">(IF($B$43="Base",55,IF($B$43="Upside",60,50)))*Drivers!$E$25</f>
        <v>151822.916666667</v>
      </c>
      <c r="C56" s="150" t="n">
        <f aca="false">(IF($B$43="Base",55,IF($B$43="Upside",60,50)))*Drivers!$E$25</f>
        <v>151822.916666667</v>
      </c>
      <c r="D56" s="150" t="n">
        <f aca="false">(IF($B$43="Base",55,IF($B$43="Upside",60,50)))*Drivers!$E$25</f>
        <v>151822.916666667</v>
      </c>
      <c r="E56" s="150" t="n">
        <f aca="false">(IF($B$43="Base",55,IF($B$43="Upside",60,50)))*Drivers!$E$25</f>
        <v>151822.916666667</v>
      </c>
      <c r="F56" s="150" t="n">
        <f aca="false">(IF($B$43="Base",55,IF($B$43="Upside",60,50)))*Drivers!$E$25</f>
        <v>151822.916666667</v>
      </c>
      <c r="G56" s="150" t="n">
        <f aca="false">(IF($B$43="Base",55,IF($B$43="Upside",60,50)))*Drivers!$E$25</f>
        <v>151822.916666667</v>
      </c>
      <c r="H56" s="150" t="n">
        <f aca="false">(IF($B$43="Base",55,IF($B$43="Upside",60,50)))*Drivers!$E$25</f>
        <v>151822.916666667</v>
      </c>
      <c r="I56" s="150" t="n">
        <f aca="false">(IF($B$43="Base",55,IF($B$43="Upside",60,50)))*Drivers!$E$25</f>
        <v>151822.916666667</v>
      </c>
      <c r="J56" s="150" t="n">
        <f aca="false">(IF($B$43="Base",55,IF($B$43="Upside",60,50)))*Drivers!$E$25</f>
        <v>151822.916666667</v>
      </c>
      <c r="K56" s="150" t="n">
        <f aca="false">(IF($B$43="Base",55,IF($B$43="Upside",60,50)))*Drivers!$E$25</f>
        <v>151822.916666667</v>
      </c>
      <c r="L56" s="150" t="n">
        <f aca="false">(IF($B$43="Base",55,IF($B$43="Upside",60,50)))*Drivers!$E$25</f>
        <v>151822.916666667</v>
      </c>
      <c r="M56" s="150" t="n">
        <f aca="false">(IF($B$43="Base",55,IF($B$43="Upside",60,50)))*Drivers!$E$25</f>
        <v>151822.916666667</v>
      </c>
      <c r="N56" s="151" t="n">
        <f aca="false">SUM(B56:M56)</f>
        <v>1821875</v>
      </c>
      <c r="O56" s="178" t="n">
        <f aca="false">IF(N54=0,0,N56/N54)</f>
        <v>0.554884220732859</v>
      </c>
      <c r="P56" s="152" t="s">
        <v>250</v>
      </c>
    </row>
    <row r="57" customFormat="false" ht="18" hidden="false" customHeight="true" outlineLevel="0" collapsed="false">
      <c r="A57" s="149" t="s">
        <v>112</v>
      </c>
      <c r="B57" s="150" t="n">
        <f aca="false">B54*0.08</f>
        <v>20253.984</v>
      </c>
      <c r="C57" s="150" t="n">
        <f aca="false">C54*0.08</f>
        <v>20900.784</v>
      </c>
      <c r="D57" s="150" t="n">
        <f aca="false">D54*0.08</f>
        <v>21547.584</v>
      </c>
      <c r="E57" s="150" t="n">
        <f aca="false">E54*0.08</f>
        <v>22409.984</v>
      </c>
      <c r="F57" s="150" t="n">
        <f aca="false">F54*0.08</f>
        <v>23056.784</v>
      </c>
      <c r="G57" s="150" t="n">
        <f aca="false">G54*0.08</f>
        <v>23056.784</v>
      </c>
      <c r="H57" s="150" t="n">
        <f aca="false">H54*0.08</f>
        <v>22625.584</v>
      </c>
      <c r="I57" s="150" t="n">
        <f aca="false">I54*0.08</f>
        <v>21978.784</v>
      </c>
      <c r="J57" s="150" t="n">
        <f aca="false">J54*0.08</f>
        <v>22409.984</v>
      </c>
      <c r="K57" s="150" t="n">
        <f aca="false">K54*0.08</f>
        <v>21978.784</v>
      </c>
      <c r="L57" s="150" t="n">
        <f aca="false">L54*0.08</f>
        <v>21547.584</v>
      </c>
      <c r="M57" s="150" t="n">
        <f aca="false">M54*0.08</f>
        <v>20900.784</v>
      </c>
      <c r="N57" s="151" t="n">
        <f aca="false">SUM(B57:M57)</f>
        <v>262667.408</v>
      </c>
      <c r="O57" s="178" t="n">
        <f aca="false">IF(N54=0,0,N57/N54)</f>
        <v>0.08</v>
      </c>
      <c r="P57" s="152" t="s">
        <v>251</v>
      </c>
    </row>
    <row r="58" customFormat="false" ht="18" hidden="false" customHeight="true" outlineLevel="0" collapsed="false">
      <c r="A58" s="149" t="s">
        <v>114</v>
      </c>
      <c r="B58" s="150" t="n">
        <f aca="false">B54*0.04</f>
        <v>10126.992</v>
      </c>
      <c r="C58" s="150" t="n">
        <f aca="false">C54*0.04</f>
        <v>10450.392</v>
      </c>
      <c r="D58" s="150" t="n">
        <f aca="false">D54*0.04</f>
        <v>10773.792</v>
      </c>
      <c r="E58" s="150" t="n">
        <f aca="false">E54*0.04</f>
        <v>11204.992</v>
      </c>
      <c r="F58" s="150" t="n">
        <f aca="false">F54*0.04</f>
        <v>11528.392</v>
      </c>
      <c r="G58" s="150" t="n">
        <f aca="false">G54*0.04</f>
        <v>11528.392</v>
      </c>
      <c r="H58" s="150" t="n">
        <f aca="false">H54*0.04</f>
        <v>11312.792</v>
      </c>
      <c r="I58" s="150" t="n">
        <f aca="false">I54*0.04</f>
        <v>10989.392</v>
      </c>
      <c r="J58" s="150" t="n">
        <f aca="false">J54*0.04</f>
        <v>11204.992</v>
      </c>
      <c r="K58" s="150" t="n">
        <f aca="false">K54*0.04</f>
        <v>10989.392</v>
      </c>
      <c r="L58" s="150" t="n">
        <f aca="false">L54*0.04</f>
        <v>10773.792</v>
      </c>
      <c r="M58" s="150" t="n">
        <f aca="false">M54*0.04</f>
        <v>10450.392</v>
      </c>
      <c r="N58" s="151" t="n">
        <f aca="false">SUM(B58:M58)</f>
        <v>131333.704</v>
      </c>
      <c r="O58" s="178" t="n">
        <f aca="false">IF(N54=0,0,N58/N54)</f>
        <v>0.04</v>
      </c>
      <c r="P58" s="152" t="s">
        <v>252</v>
      </c>
    </row>
    <row r="59" customFormat="false" ht="18" hidden="false" customHeight="true" outlineLevel="0" collapsed="false">
      <c r="A59" s="77" t="s">
        <v>215</v>
      </c>
      <c r="B59" s="153" t="n">
        <f aca="false">B56+B57+B58</f>
        <v>182203.892666667</v>
      </c>
      <c r="C59" s="153" t="n">
        <f aca="false">C56+C57+C58</f>
        <v>183174.092666667</v>
      </c>
      <c r="D59" s="153" t="n">
        <f aca="false">D56+D57+D58</f>
        <v>184144.292666667</v>
      </c>
      <c r="E59" s="153" t="n">
        <f aca="false">E56+E57+E58</f>
        <v>185437.892666667</v>
      </c>
      <c r="F59" s="153" t="n">
        <f aca="false">F56+F57+F58</f>
        <v>186408.092666667</v>
      </c>
      <c r="G59" s="153" t="n">
        <f aca="false">G56+G57+G58</f>
        <v>186408.092666667</v>
      </c>
      <c r="H59" s="153" t="n">
        <f aca="false">H56+H57+H58</f>
        <v>185761.292666667</v>
      </c>
      <c r="I59" s="153" t="n">
        <f aca="false">I56+I57+I58</f>
        <v>184791.092666667</v>
      </c>
      <c r="J59" s="153" t="n">
        <f aca="false">J56+J57+J58</f>
        <v>185437.892666667</v>
      </c>
      <c r="K59" s="153" t="n">
        <f aca="false">K56+K57+K58</f>
        <v>184791.092666667</v>
      </c>
      <c r="L59" s="153" t="n">
        <f aca="false">L56+L57+L58</f>
        <v>184144.292666667</v>
      </c>
      <c r="M59" s="153" t="n">
        <f aca="false">M56+M57+M58</f>
        <v>183174.092666667</v>
      </c>
      <c r="N59" s="154" t="n">
        <f aca="false">SUM(B59:M59)</f>
        <v>2215876.112</v>
      </c>
      <c r="O59" s="179" t="n">
        <f aca="false">IF(N54=0,0,N59/N54)</f>
        <v>0.674884220732859</v>
      </c>
      <c r="P59" s="152" t="s">
        <v>216</v>
      </c>
    </row>
    <row r="60" customFormat="false" ht="18" hidden="false" customHeight="true" outlineLevel="0" collapsed="false">
      <c r="A60" s="149"/>
      <c r="B60" s="156"/>
      <c r="C60" s="156"/>
      <c r="D60" s="156"/>
      <c r="E60" s="156"/>
      <c r="F60" s="156"/>
      <c r="G60" s="156"/>
      <c r="H60" s="156"/>
      <c r="I60" s="156"/>
      <c r="J60" s="156"/>
      <c r="K60" s="156"/>
      <c r="L60" s="156"/>
      <c r="M60" s="156"/>
      <c r="N60" s="157"/>
      <c r="O60" s="101"/>
    </row>
    <row r="61" customFormat="false" ht="18" hidden="false" customHeight="true" outlineLevel="0" collapsed="false">
      <c r="A61" s="105" t="s">
        <v>62</v>
      </c>
      <c r="B61" s="147" t="n">
        <f aca="false">B54-B59</f>
        <v>70970.9073333333</v>
      </c>
      <c r="C61" s="147" t="n">
        <f aca="false">C54-C59</f>
        <v>78085.7073333333</v>
      </c>
      <c r="D61" s="147" t="n">
        <f aca="false">D54-D59</f>
        <v>85200.5073333333</v>
      </c>
      <c r="E61" s="147" t="n">
        <f aca="false">E54-E59</f>
        <v>94686.9073333333</v>
      </c>
      <c r="F61" s="147" t="n">
        <f aca="false">F54-F59</f>
        <v>101801.707333333</v>
      </c>
      <c r="G61" s="147" t="n">
        <f aca="false">G54-G59</f>
        <v>101801.707333333</v>
      </c>
      <c r="H61" s="147" t="n">
        <f aca="false">H54-H59</f>
        <v>97058.5073333333</v>
      </c>
      <c r="I61" s="147" t="n">
        <f aca="false">I54-I59</f>
        <v>89943.7073333333</v>
      </c>
      <c r="J61" s="147" t="n">
        <f aca="false">J54-J59</f>
        <v>94686.9073333333</v>
      </c>
      <c r="K61" s="147" t="n">
        <f aca="false">K54-K59</f>
        <v>89943.7073333333</v>
      </c>
      <c r="L61" s="147" t="n">
        <f aca="false">L54-L59</f>
        <v>85200.5073333333</v>
      </c>
      <c r="M61" s="147" t="n">
        <f aca="false">M54-M59</f>
        <v>78085.7073333333</v>
      </c>
      <c r="N61" s="147" t="n">
        <f aca="false">SUM(B61:M61)</f>
        <v>1067466.488</v>
      </c>
      <c r="O61" s="180" t="n">
        <f aca="false">IF(N54=0,0,N61/N54)</f>
        <v>0.325115779267141</v>
      </c>
      <c r="P61" s="152" t="s">
        <v>253</v>
      </c>
    </row>
    <row r="62" customFormat="false" ht="18" hidden="false" customHeight="true" outlineLevel="0" collapsed="false">
      <c r="A62" s="149" t="s">
        <v>63</v>
      </c>
      <c r="B62" s="108" t="n">
        <f aca="false">IF(B54=0,0,B61/B54)</f>
        <v>0.280323742068063</v>
      </c>
      <c r="C62" s="108" t="n">
        <f aca="false">IF(C54=0,0,C61/C54)</f>
        <v>0.298881448019685</v>
      </c>
      <c r="D62" s="108" t="n">
        <f aca="false">IF(D54=0,0,D61/D54)</f>
        <v>0.316325050022623</v>
      </c>
      <c r="E62" s="108" t="n">
        <f aca="false">IF(E54=0,0,E61/E54)</f>
        <v>0.338016867243933</v>
      </c>
      <c r="F62" s="108" t="n">
        <f aca="false">IF(F54=0,0,F61/F54)</f>
        <v>0.353220838893519</v>
      </c>
      <c r="G62" s="108" t="n">
        <f aca="false">IF(G54=0,0,G61/G54)</f>
        <v>0.353220838893519</v>
      </c>
      <c r="H62" s="108" t="n">
        <f aca="false">IF(H54=0,0,H61/H54)</f>
        <v>0.343181443920593</v>
      </c>
      <c r="I62" s="108" t="n">
        <f aca="false">IF(I54=0,0,I61/I54)</f>
        <v>0.327383743644174</v>
      </c>
      <c r="J62" s="108" t="n">
        <f aca="false">IF(J54=0,0,J61/J54)</f>
        <v>0.338016867243933</v>
      </c>
      <c r="K62" s="108" t="n">
        <f aca="false">IF(K54=0,0,K61/K54)</f>
        <v>0.327383743644174</v>
      </c>
      <c r="L62" s="108" t="n">
        <f aca="false">IF(L54=0,0,L61/L54)</f>
        <v>0.316325050022623</v>
      </c>
      <c r="M62" s="108" t="n">
        <f aca="false">IF(M54=0,0,M61/M54)</f>
        <v>0.298881448019685</v>
      </c>
      <c r="N62" s="94" t="n">
        <f aca="false">IF(N54=0,0,N61/N54)</f>
        <v>0.325115779267141</v>
      </c>
      <c r="O62" s="101"/>
      <c r="P62" s="152" t="s">
        <v>218</v>
      </c>
    </row>
    <row r="63" customFormat="false" ht="13.8" hidden="false" customHeight="false" outlineLevel="0" collapsed="false"/>
    <row r="64" customFormat="false" ht="13.8" hidden="false" customHeight="false" outlineLevel="0" collapsed="false"/>
    <row r="65" customFormat="false" ht="21.75" hidden="false" customHeight="true" outlineLevel="0" collapsed="false">
      <c r="A65" s="117" t="s">
        <v>254</v>
      </c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</row>
    <row r="66" customFormat="false" ht="15.75" hidden="false" customHeight="true" outlineLevel="0" collapsed="false">
      <c r="A66" s="181" t="s">
        <v>255</v>
      </c>
      <c r="B66" s="181"/>
      <c r="C66" s="181"/>
      <c r="D66" s="181"/>
      <c r="E66" s="181"/>
      <c r="F66" s="181"/>
      <c r="G66" s="181"/>
      <c r="H66" s="181"/>
      <c r="I66" s="181"/>
      <c r="J66" s="181"/>
      <c r="K66" s="181"/>
      <c r="L66" s="181"/>
      <c r="M66" s="181"/>
      <c r="N66" s="181"/>
      <c r="O66" s="181"/>
      <c r="P66" s="181"/>
      <c r="Q66" s="181"/>
    </row>
    <row r="67" customFormat="false" ht="13.8" hidden="false" customHeight="false" outlineLevel="0" collapsed="false"/>
    <row r="68" customFormat="false" ht="18" hidden="false" customHeight="true" outlineLevel="0" collapsed="false">
      <c r="A68" s="182" t="s">
        <v>256</v>
      </c>
      <c r="B68" s="182"/>
      <c r="C68" s="182"/>
      <c r="D68" s="182"/>
      <c r="E68" s="182"/>
      <c r="F68" s="182"/>
      <c r="G68" s="182"/>
      <c r="H68" s="182"/>
      <c r="I68" s="182"/>
    </row>
    <row r="69" customFormat="false" ht="19.5" hidden="false" customHeight="true" outlineLevel="0" collapsed="false">
      <c r="A69" s="129" t="s">
        <v>257</v>
      </c>
      <c r="B69" s="129" t="s">
        <v>258</v>
      </c>
      <c r="C69" s="129" t="s">
        <v>259</v>
      </c>
      <c r="D69" s="129" t="s">
        <v>260</v>
      </c>
      <c r="E69" s="129" t="s">
        <v>110</v>
      </c>
      <c r="F69" s="129" t="s">
        <v>261</v>
      </c>
      <c r="G69" s="129" t="s">
        <v>61</v>
      </c>
      <c r="H69" s="129" t="s">
        <v>62</v>
      </c>
      <c r="I69" s="129" t="s">
        <v>262</v>
      </c>
    </row>
    <row r="70" customFormat="false" ht="15.75" hidden="false" customHeight="true" outlineLevel="0" collapsed="false">
      <c r="A70" s="183" t="n">
        <v>48</v>
      </c>
      <c r="B70" s="184" t="n">
        <f aca="false">48*4900*0.82*12</f>
        <v>2314368</v>
      </c>
      <c r="C70" s="184" t="n">
        <f aca="false">N23</f>
        <v>580257.6</v>
      </c>
      <c r="D70" s="184" t="n">
        <f aca="false">B70+C70</f>
        <v>2894625.6</v>
      </c>
      <c r="E70" s="184" t="n">
        <f aca="false">48*Drivers!$E$25*12</f>
        <v>1590000</v>
      </c>
      <c r="F70" s="184" t="n">
        <f aca="false">D70*0.12</f>
        <v>347355.072</v>
      </c>
      <c r="G70" s="184" t="n">
        <f aca="false">E70+F70</f>
        <v>1937355.072</v>
      </c>
      <c r="H70" s="185" t="n">
        <f aca="false">D70-G70</f>
        <v>957270.528</v>
      </c>
      <c r="I70" s="186" t="n">
        <f aca="false">IF(D70=0,0,H70/D70)</f>
        <v>0.330706163864508</v>
      </c>
    </row>
    <row r="71" customFormat="false" ht="15.75" hidden="false" customHeight="true" outlineLevel="0" collapsed="false">
      <c r="A71" s="187" t="n">
        <v>50</v>
      </c>
      <c r="B71" s="188" t="n">
        <f aca="false">50*4900*0.82*12</f>
        <v>2410800</v>
      </c>
      <c r="C71" s="188" t="n">
        <f aca="false">N23</f>
        <v>580257.6</v>
      </c>
      <c r="D71" s="188" t="n">
        <f aca="false">B71+C71</f>
        <v>2991057.6</v>
      </c>
      <c r="E71" s="188" t="n">
        <f aca="false">50*Drivers!$E$25*12</f>
        <v>1656250</v>
      </c>
      <c r="F71" s="188" t="n">
        <f aca="false">D71*0.12</f>
        <v>358926.912</v>
      </c>
      <c r="G71" s="188" t="n">
        <f aca="false">E71+F71</f>
        <v>2015176.912</v>
      </c>
      <c r="H71" s="189" t="n">
        <f aca="false">D71-G71</f>
        <v>975880.688</v>
      </c>
      <c r="I71" s="190" t="n">
        <f aca="false">IF(D71=0,0,H71/D71)</f>
        <v>0.326266096647554</v>
      </c>
    </row>
    <row r="72" customFormat="false" ht="15.75" hidden="false" customHeight="true" outlineLevel="0" collapsed="false">
      <c r="A72" s="183" t="n">
        <v>52</v>
      </c>
      <c r="B72" s="184" t="n">
        <f aca="false">52*4900*0.82*12</f>
        <v>2507232</v>
      </c>
      <c r="C72" s="184" t="n">
        <f aca="false">N23</f>
        <v>580257.6</v>
      </c>
      <c r="D72" s="184" t="n">
        <f aca="false">B72+C72</f>
        <v>3087489.6</v>
      </c>
      <c r="E72" s="184" t="n">
        <f aca="false">52*Drivers!$E$25*12</f>
        <v>1722500</v>
      </c>
      <c r="F72" s="184" t="n">
        <f aca="false">D72*0.12</f>
        <v>370498.752</v>
      </c>
      <c r="G72" s="184" t="n">
        <f aca="false">E72+F72</f>
        <v>2092998.752</v>
      </c>
      <c r="H72" s="185" t="n">
        <f aca="false">D72-G72</f>
        <v>994490.848</v>
      </c>
      <c r="I72" s="186" t="n">
        <f aca="false">IF(D72=0,0,H72/D72)</f>
        <v>0.322103383927188</v>
      </c>
    </row>
    <row r="73" customFormat="false" ht="15.75" hidden="false" customHeight="true" outlineLevel="0" collapsed="false">
      <c r="A73" s="191" t="n">
        <v>54</v>
      </c>
      <c r="B73" s="192" t="n">
        <f aca="false">54*4900*0.82*12</f>
        <v>2603664</v>
      </c>
      <c r="C73" s="192" t="n">
        <f aca="false">N23</f>
        <v>580257.6</v>
      </c>
      <c r="D73" s="192" t="n">
        <f aca="false">B73+C73</f>
        <v>3183921.6</v>
      </c>
      <c r="E73" s="192" t="n">
        <f aca="false">54*Drivers!$E$25*12</f>
        <v>1788750</v>
      </c>
      <c r="F73" s="192" t="n">
        <f aca="false">D73*0.12</f>
        <v>382070.592</v>
      </c>
      <c r="G73" s="192" t="n">
        <f aca="false">E73+F73</f>
        <v>2170820.592</v>
      </c>
      <c r="H73" s="193" t="n">
        <f aca="false">D73-G73</f>
        <v>1013101.008</v>
      </c>
      <c r="I73" s="194" t="n">
        <f aca="false">IF(D73=0,0,H73/D73)</f>
        <v>0.318192824848451</v>
      </c>
      <c r="J73" s="195" t="s">
        <v>263</v>
      </c>
    </row>
    <row r="74" customFormat="false" ht="15.75" hidden="false" customHeight="true" outlineLevel="0" collapsed="false">
      <c r="A74" s="183" t="n">
        <v>56</v>
      </c>
      <c r="B74" s="184" t="n">
        <f aca="false">56*4900*0.82*12</f>
        <v>2700096</v>
      </c>
      <c r="C74" s="184" t="n">
        <f aca="false">N23</f>
        <v>580257.6</v>
      </c>
      <c r="D74" s="184" t="n">
        <f aca="false">B74+C74</f>
        <v>3280353.6</v>
      </c>
      <c r="E74" s="184" t="n">
        <f aca="false">56*Drivers!$E$25*12</f>
        <v>1855000</v>
      </c>
      <c r="F74" s="184" t="n">
        <f aca="false">D74*0.12</f>
        <v>393642.432</v>
      </c>
      <c r="G74" s="184" t="n">
        <f aca="false">E74+F74</f>
        <v>2248642.432</v>
      </c>
      <c r="H74" s="185" t="n">
        <f aca="false">D74-G74</f>
        <v>1031711.168</v>
      </c>
      <c r="I74" s="186" t="n">
        <f aca="false">IF(D74=0,0,H74/D74)</f>
        <v>0.314512181857468</v>
      </c>
    </row>
    <row r="75" customFormat="false" ht="15.75" hidden="false" customHeight="true" outlineLevel="0" collapsed="false">
      <c r="A75" s="187" t="n">
        <v>58</v>
      </c>
      <c r="B75" s="188" t="n">
        <f aca="false">58*4900*0.82*12</f>
        <v>2796528</v>
      </c>
      <c r="C75" s="188" t="n">
        <f aca="false">N23</f>
        <v>580257.6</v>
      </c>
      <c r="D75" s="188" t="n">
        <f aca="false">B75+C75</f>
        <v>3376785.6</v>
      </c>
      <c r="E75" s="188" t="n">
        <f aca="false">58*Drivers!$E$25*12</f>
        <v>1921250</v>
      </c>
      <c r="F75" s="188" t="n">
        <f aca="false">D75*0.12</f>
        <v>405214.272</v>
      </c>
      <c r="G75" s="188" t="n">
        <f aca="false">E75+F75</f>
        <v>2326464.272</v>
      </c>
      <c r="H75" s="189" t="n">
        <f aca="false">D75-G75</f>
        <v>1050321.328</v>
      </c>
      <c r="I75" s="190" t="n">
        <f aca="false">IF(D75=0,0,H75/D75)</f>
        <v>0.31104175758153</v>
      </c>
    </row>
    <row r="76" customFormat="false" ht="15.75" hidden="false" customHeight="true" outlineLevel="0" collapsed="false">
      <c r="A76" s="183" t="n">
        <v>60</v>
      </c>
      <c r="B76" s="184" t="n">
        <f aca="false">60*4900*0.82*12</f>
        <v>2892960</v>
      </c>
      <c r="C76" s="184" t="n">
        <f aca="false">N23</f>
        <v>580257.6</v>
      </c>
      <c r="D76" s="184" t="n">
        <f aca="false">B76+C76</f>
        <v>3473217.6</v>
      </c>
      <c r="E76" s="184" t="n">
        <f aca="false">60*Drivers!$E$25*12</f>
        <v>1987500</v>
      </c>
      <c r="F76" s="184" t="n">
        <f aca="false">D76*0.12</f>
        <v>416786.112</v>
      </c>
      <c r="G76" s="184" t="n">
        <f aca="false">E76+F76</f>
        <v>2404286.112</v>
      </c>
      <c r="H76" s="185" t="n">
        <f aca="false">D76-G76</f>
        <v>1068931.488</v>
      </c>
      <c r="I76" s="186" t="n">
        <f aca="false">IF(D76=0,0,H76/D76)</f>
        <v>0.307764042195341</v>
      </c>
    </row>
    <row r="77" customFormat="false" ht="15.75" hidden="false" customHeight="true" outlineLevel="0" collapsed="false">
      <c r="A77" s="187" t="n">
        <v>62</v>
      </c>
      <c r="B77" s="188" t="n">
        <f aca="false">62*4900*0.82*12</f>
        <v>2989392</v>
      </c>
      <c r="C77" s="188" t="n">
        <f aca="false">N23</f>
        <v>580257.6</v>
      </c>
      <c r="D77" s="188" t="n">
        <f aca="false">B77+C77</f>
        <v>3569649.6</v>
      </c>
      <c r="E77" s="188" t="n">
        <f aca="false">62*Drivers!$E$25*12</f>
        <v>2053750</v>
      </c>
      <c r="F77" s="188" t="n">
        <f aca="false">D77*0.12</f>
        <v>428357.952</v>
      </c>
      <c r="G77" s="188" t="n">
        <f aca="false">E77+F77</f>
        <v>2482107.952</v>
      </c>
      <c r="H77" s="189" t="n">
        <f aca="false">D77-G77</f>
        <v>1087541.648</v>
      </c>
      <c r="I77" s="190" t="n">
        <f aca="false">IF(D77=0,0,H77/D77)</f>
        <v>0.304663417944439</v>
      </c>
    </row>
    <row r="78" customFormat="false" ht="13.8" hidden="false" customHeight="false" outlineLevel="0" collapsed="false"/>
    <row r="79" customFormat="false" ht="13.8" hidden="false" customHeight="false" outlineLevel="0" collapsed="false"/>
    <row r="80" customFormat="false" ht="18" hidden="false" customHeight="true" outlineLevel="0" collapsed="false">
      <c r="A80" s="182" t="s">
        <v>264</v>
      </c>
      <c r="B80" s="182"/>
      <c r="C80" s="182"/>
      <c r="D80" s="182"/>
      <c r="E80" s="182"/>
      <c r="F80" s="182"/>
      <c r="G80" s="182"/>
      <c r="H80" s="182"/>
      <c r="I80" s="182"/>
    </row>
    <row r="81" customFormat="false" ht="19.5" hidden="false" customHeight="true" outlineLevel="0" collapsed="false">
      <c r="A81" s="129" t="s">
        <v>231</v>
      </c>
      <c r="B81" s="129" t="s">
        <v>258</v>
      </c>
      <c r="C81" s="129" t="s">
        <v>259</v>
      </c>
      <c r="D81" s="129" t="s">
        <v>260</v>
      </c>
      <c r="E81" s="129" t="s">
        <v>110</v>
      </c>
      <c r="F81" s="129" t="s">
        <v>261</v>
      </c>
      <c r="G81" s="129" t="s">
        <v>61</v>
      </c>
      <c r="H81" s="129" t="s">
        <v>62</v>
      </c>
      <c r="I81" s="129" t="s">
        <v>262</v>
      </c>
    </row>
    <row r="82" customFormat="false" ht="15.75" hidden="false" customHeight="true" outlineLevel="0" collapsed="false">
      <c r="A82" s="196" t="n">
        <v>4400</v>
      </c>
      <c r="B82" s="184" t="n">
        <f aca="false">55*4400*0.82*12</f>
        <v>2381280</v>
      </c>
      <c r="C82" s="184" t="n">
        <f aca="false">N23</f>
        <v>580257.6</v>
      </c>
      <c r="D82" s="184" t="n">
        <f aca="false">B82+C82</f>
        <v>2961537.6</v>
      </c>
      <c r="E82" s="184" t="n">
        <f aca="false">55*Drivers!$E$25*12</f>
        <v>1821875</v>
      </c>
      <c r="F82" s="184" t="n">
        <f aca="false">D82*0.12</f>
        <v>355384.512</v>
      </c>
      <c r="G82" s="184" t="n">
        <f aca="false">E82+F82</f>
        <v>2177259.512</v>
      </c>
      <c r="H82" s="185" t="n">
        <f aca="false">D82-G82</f>
        <v>784278.088</v>
      </c>
      <c r="I82" s="186" t="n">
        <f aca="false">IF(D82=0,0,H82/D82)</f>
        <v>0.264821249610338</v>
      </c>
    </row>
    <row r="83" customFormat="false" ht="15.75" hidden="false" customHeight="true" outlineLevel="0" collapsed="false">
      <c r="A83" s="197" t="n">
        <v>4600</v>
      </c>
      <c r="B83" s="188" t="n">
        <f aca="false">55*4600*0.82*12</f>
        <v>2489520</v>
      </c>
      <c r="C83" s="188" t="n">
        <f aca="false">N23</f>
        <v>580257.6</v>
      </c>
      <c r="D83" s="188" t="n">
        <f aca="false">B83+C83</f>
        <v>3069777.6</v>
      </c>
      <c r="E83" s="188" t="n">
        <f aca="false">55*Drivers!$E$25*12</f>
        <v>1821875</v>
      </c>
      <c r="F83" s="188" t="n">
        <f aca="false">D83*0.12</f>
        <v>368373.312</v>
      </c>
      <c r="G83" s="188" t="n">
        <f aca="false">E83+F83</f>
        <v>2190248.312</v>
      </c>
      <c r="H83" s="189" t="n">
        <f aca="false">D83-G83</f>
        <v>879529.288</v>
      </c>
      <c r="I83" s="190" t="n">
        <f aca="false">IF(D83=0,0,H83/D83)</f>
        <v>0.286512380571153</v>
      </c>
    </row>
    <row r="84" customFormat="false" ht="15.75" hidden="false" customHeight="true" outlineLevel="0" collapsed="false">
      <c r="A84" s="198" t="n">
        <v>4800</v>
      </c>
      <c r="B84" s="192" t="n">
        <f aca="false">55*4800*0.82*12</f>
        <v>2597760</v>
      </c>
      <c r="C84" s="192" t="n">
        <f aca="false">N23</f>
        <v>580257.6</v>
      </c>
      <c r="D84" s="192" t="n">
        <f aca="false">B84+C84</f>
        <v>3178017.6</v>
      </c>
      <c r="E84" s="192" t="n">
        <f aca="false">55*Drivers!$E$25*12</f>
        <v>1821875</v>
      </c>
      <c r="F84" s="192" t="n">
        <f aca="false">D84*0.12</f>
        <v>381362.112</v>
      </c>
      <c r="G84" s="192" t="n">
        <f aca="false">E84+F84</f>
        <v>2203237.112</v>
      </c>
      <c r="H84" s="193" t="n">
        <f aca="false">D84-G84</f>
        <v>974780.488</v>
      </c>
      <c r="I84" s="194" t="n">
        <f aca="false">IF(D84=0,0,H84/D84)</f>
        <v>0.306725956457887</v>
      </c>
    </row>
    <row r="85" customFormat="false" ht="15.75" hidden="false" customHeight="true" outlineLevel="0" collapsed="false">
      <c r="A85" s="197" t="n">
        <v>5000</v>
      </c>
      <c r="B85" s="188" t="n">
        <f aca="false">55*5000*0.82*12</f>
        <v>2706000</v>
      </c>
      <c r="C85" s="188" t="n">
        <f aca="false">N23</f>
        <v>580257.6</v>
      </c>
      <c r="D85" s="188" t="n">
        <f aca="false">B85+C85</f>
        <v>3286257.6</v>
      </c>
      <c r="E85" s="188" t="n">
        <f aca="false">55*Drivers!$E$25*12</f>
        <v>1821875</v>
      </c>
      <c r="F85" s="188" t="n">
        <f aca="false">D85*0.12</f>
        <v>394350.912</v>
      </c>
      <c r="G85" s="188" t="n">
        <f aca="false">E85+F85</f>
        <v>2216225.912</v>
      </c>
      <c r="H85" s="189" t="n">
        <f aca="false">D85-G85</f>
        <v>1070031.688</v>
      </c>
      <c r="I85" s="190" t="n">
        <f aca="false">IF(D85=0,0,H85/D85)</f>
        <v>0.325607976684482</v>
      </c>
    </row>
    <row r="86" customFormat="false" ht="15.75" hidden="false" customHeight="true" outlineLevel="0" collapsed="false">
      <c r="A86" s="196" t="n">
        <v>5200</v>
      </c>
      <c r="B86" s="184" t="n">
        <f aca="false">55*5200*0.82*12</f>
        <v>2814240</v>
      </c>
      <c r="C86" s="184" t="n">
        <f aca="false">N23</f>
        <v>580257.6</v>
      </c>
      <c r="D86" s="184" t="n">
        <f aca="false">B86+C86</f>
        <v>3394497.6</v>
      </c>
      <c r="E86" s="184" t="n">
        <f aca="false">55*Drivers!$E$25*12</f>
        <v>1821875</v>
      </c>
      <c r="F86" s="184" t="n">
        <f aca="false">D86*0.12</f>
        <v>407339.712</v>
      </c>
      <c r="G86" s="184" t="n">
        <f aca="false">E86+F86</f>
        <v>2229214.712</v>
      </c>
      <c r="H86" s="185" t="n">
        <f aca="false">D86-G86</f>
        <v>1165282.888</v>
      </c>
      <c r="I86" s="186" t="n">
        <f aca="false">IF(D86=0,0,H86/D86)</f>
        <v>0.343285818790975</v>
      </c>
    </row>
    <row r="87" customFormat="false" ht="15.75" hidden="false" customHeight="true" outlineLevel="0" collapsed="false">
      <c r="A87" s="197" t="n">
        <v>5400</v>
      </c>
      <c r="B87" s="188" t="n">
        <f aca="false">55*5400*0.82*12</f>
        <v>2922480</v>
      </c>
      <c r="C87" s="188" t="n">
        <f aca="false">N23</f>
        <v>580257.6</v>
      </c>
      <c r="D87" s="188" t="n">
        <f aca="false">B87+C87</f>
        <v>3502737.6</v>
      </c>
      <c r="E87" s="188" t="n">
        <f aca="false">55*Drivers!$E$25*12</f>
        <v>1821875</v>
      </c>
      <c r="F87" s="188" t="n">
        <f aca="false">D87*0.12</f>
        <v>420328.512</v>
      </c>
      <c r="G87" s="188" t="n">
        <f aca="false">E87+F87</f>
        <v>2242203.512</v>
      </c>
      <c r="H87" s="189" t="n">
        <f aca="false">D87-G87</f>
        <v>1260534.088</v>
      </c>
      <c r="I87" s="190" t="n">
        <f aca="false">IF(D87=0,0,H87/D87)</f>
        <v>0.359871115666786</v>
      </c>
    </row>
    <row r="88" customFormat="false" ht="13.8" hidden="false" customHeight="false" outlineLevel="0" collapsed="false"/>
    <row r="89" customFormat="false" ht="13.8" hidden="false" customHeight="false" outlineLevel="0" collapsed="false"/>
    <row r="90" customFormat="false" ht="18" hidden="false" customHeight="true" outlineLevel="0" collapsed="false">
      <c r="A90" s="182" t="s">
        <v>265</v>
      </c>
      <c r="B90" s="182"/>
      <c r="C90" s="182"/>
      <c r="D90" s="182"/>
      <c r="E90" s="182"/>
      <c r="F90" s="182"/>
      <c r="G90" s="182"/>
      <c r="H90" s="182"/>
      <c r="I90" s="182"/>
    </row>
    <row r="91" customFormat="false" ht="19.5" hidden="false" customHeight="true" outlineLevel="0" collapsed="false">
      <c r="A91" s="129" t="s">
        <v>266</v>
      </c>
      <c r="B91" s="129" t="s">
        <v>258</v>
      </c>
      <c r="C91" s="129" t="s">
        <v>259</v>
      </c>
      <c r="D91" s="129" t="s">
        <v>260</v>
      </c>
      <c r="E91" s="129" t="s">
        <v>110</v>
      </c>
      <c r="F91" s="129" t="s">
        <v>261</v>
      </c>
      <c r="G91" s="129" t="s">
        <v>61</v>
      </c>
      <c r="H91" s="129" t="s">
        <v>62</v>
      </c>
      <c r="I91" s="129" t="s">
        <v>262</v>
      </c>
    </row>
    <row r="92" customFormat="false" ht="15.75" hidden="false" customHeight="true" outlineLevel="0" collapsed="false">
      <c r="A92" s="199" t="n">
        <v>0.7</v>
      </c>
      <c r="B92" s="184" t="n">
        <f aca="false">55*4900*0.7*12</f>
        <v>2263800</v>
      </c>
      <c r="C92" s="184" t="n">
        <f aca="false">N23</f>
        <v>580257.6</v>
      </c>
      <c r="D92" s="184" t="n">
        <f aca="false">B92+C92</f>
        <v>2844057.6</v>
      </c>
      <c r="E92" s="184" t="n">
        <f aca="false">55*Drivers!$E$25*12</f>
        <v>1821875</v>
      </c>
      <c r="F92" s="184" t="n">
        <f aca="false">D92*0.12</f>
        <v>341286.912</v>
      </c>
      <c r="G92" s="184" t="n">
        <f aca="false">E92+F92</f>
        <v>2163161.912</v>
      </c>
      <c r="H92" s="185" t="n">
        <f aca="false">D92-G92</f>
        <v>680895.688</v>
      </c>
      <c r="I92" s="186" t="n">
        <f aca="false">IF(D92=0,0,H92/D92)</f>
        <v>0.239409950065709</v>
      </c>
    </row>
    <row r="93" customFormat="false" ht="15.75" hidden="false" customHeight="true" outlineLevel="0" collapsed="false">
      <c r="A93" s="200" t="n">
        <v>0.72</v>
      </c>
      <c r="B93" s="188" t="n">
        <f aca="false">55*4900*0.72*12</f>
        <v>2328480</v>
      </c>
      <c r="C93" s="188" t="n">
        <f aca="false">N23</f>
        <v>580257.6</v>
      </c>
      <c r="D93" s="188" t="n">
        <f aca="false">B93+C93</f>
        <v>2908737.6</v>
      </c>
      <c r="E93" s="188" t="n">
        <f aca="false">55*Drivers!$E$25*12</f>
        <v>1821875</v>
      </c>
      <c r="F93" s="188" t="n">
        <f aca="false">D93*0.12</f>
        <v>349048.512</v>
      </c>
      <c r="G93" s="188" t="n">
        <f aca="false">E93+F93</f>
        <v>2170923.512</v>
      </c>
      <c r="H93" s="189" t="n">
        <f aca="false">D93-G93</f>
        <v>737814.088</v>
      </c>
      <c r="I93" s="190" t="n">
        <f aca="false">IF(D93=0,0,H93/D93)</f>
        <v>0.253654399076768</v>
      </c>
    </row>
    <row r="94" customFormat="false" ht="15.75" hidden="false" customHeight="true" outlineLevel="0" collapsed="false">
      <c r="A94" s="199" t="n">
        <v>0.74</v>
      </c>
      <c r="B94" s="184" t="n">
        <f aca="false">55*4900*0.74*12</f>
        <v>2393160</v>
      </c>
      <c r="C94" s="184" t="n">
        <f aca="false">N23</f>
        <v>580257.6</v>
      </c>
      <c r="D94" s="184" t="n">
        <f aca="false">B94+C94</f>
        <v>2973417.6</v>
      </c>
      <c r="E94" s="184" t="n">
        <f aca="false">55*Drivers!$E$25*12</f>
        <v>1821875</v>
      </c>
      <c r="F94" s="184" t="n">
        <f aca="false">D94*0.12</f>
        <v>356810.112</v>
      </c>
      <c r="G94" s="184" t="n">
        <f aca="false">E94+F94</f>
        <v>2178685.112</v>
      </c>
      <c r="H94" s="185" t="n">
        <f aca="false">D94-G94</f>
        <v>794732.488</v>
      </c>
      <c r="I94" s="186" t="n">
        <f aca="false">IF(D94=0,0,H94/D94)</f>
        <v>0.267279136304298</v>
      </c>
    </row>
    <row r="95" customFormat="false" ht="15.75" hidden="false" customHeight="true" outlineLevel="0" collapsed="false">
      <c r="A95" s="200" t="n">
        <v>0.76</v>
      </c>
      <c r="B95" s="188" t="n">
        <f aca="false">55*4900*0.76*12</f>
        <v>2457840</v>
      </c>
      <c r="C95" s="188" t="n">
        <f aca="false">N23</f>
        <v>580257.6</v>
      </c>
      <c r="D95" s="188" t="n">
        <f aca="false">B95+C95</f>
        <v>3038097.6</v>
      </c>
      <c r="E95" s="188" t="n">
        <f aca="false">55*Drivers!$E$25*12</f>
        <v>1821875</v>
      </c>
      <c r="F95" s="188" t="n">
        <f aca="false">D95*0.12</f>
        <v>364571.712</v>
      </c>
      <c r="G95" s="188" t="n">
        <f aca="false">E95+F95</f>
        <v>2186446.712</v>
      </c>
      <c r="H95" s="189" t="n">
        <f aca="false">D95-G95</f>
        <v>851650.888</v>
      </c>
      <c r="I95" s="190" t="n">
        <f aca="false">IF(D95=0,0,H95/D95)</f>
        <v>0.280323742068063</v>
      </c>
    </row>
    <row r="96" customFormat="false" ht="15.75" hidden="false" customHeight="true" outlineLevel="0" collapsed="false">
      <c r="A96" s="199" t="n">
        <v>0.78</v>
      </c>
      <c r="B96" s="184" t="n">
        <f aca="false">55*4900*0.78*12</f>
        <v>2522520</v>
      </c>
      <c r="C96" s="184" t="n">
        <f aca="false">N23</f>
        <v>580257.6</v>
      </c>
      <c r="D96" s="184" t="n">
        <f aca="false">B96+C96</f>
        <v>3102777.6</v>
      </c>
      <c r="E96" s="184" t="n">
        <f aca="false">55*Drivers!$E$25*12</f>
        <v>1821875</v>
      </c>
      <c r="F96" s="184" t="n">
        <f aca="false">D96*0.12</f>
        <v>372333.312</v>
      </c>
      <c r="G96" s="184" t="n">
        <f aca="false">E96+F96</f>
        <v>2194208.312</v>
      </c>
      <c r="H96" s="185" t="n">
        <f aca="false">D96-G96</f>
        <v>908569.288</v>
      </c>
      <c r="I96" s="186" t="n">
        <f aca="false">IF(D96=0,0,H96/D96)</f>
        <v>0.292824496348046</v>
      </c>
    </row>
    <row r="97" customFormat="false" ht="15.75" hidden="false" customHeight="true" outlineLevel="0" collapsed="false">
      <c r="A97" s="200" t="n">
        <v>0.8</v>
      </c>
      <c r="B97" s="188" t="n">
        <f aca="false">55*4900*0.8*12</f>
        <v>2587200</v>
      </c>
      <c r="C97" s="188" t="n">
        <f aca="false">N23</f>
        <v>580257.6</v>
      </c>
      <c r="D97" s="188" t="n">
        <f aca="false">B97+C97</f>
        <v>3167457.6</v>
      </c>
      <c r="E97" s="188" t="n">
        <f aca="false">55*Drivers!$E$25*12</f>
        <v>1821875</v>
      </c>
      <c r="F97" s="188" t="n">
        <f aca="false">D97*0.12</f>
        <v>380094.912</v>
      </c>
      <c r="G97" s="188" t="n">
        <f aca="false">E97+F97</f>
        <v>2201969.912</v>
      </c>
      <c r="H97" s="189" t="n">
        <f aca="false">D97-G97</f>
        <v>965487.688</v>
      </c>
      <c r="I97" s="190" t="n">
        <f aca="false">IF(D97=0,0,H97/D97)</f>
        <v>0.304814715751838</v>
      </c>
    </row>
    <row r="98" customFormat="false" ht="15.75" hidden="false" customHeight="true" outlineLevel="0" collapsed="false">
      <c r="A98" s="201" t="n">
        <v>0.82</v>
      </c>
      <c r="B98" s="192" t="n">
        <f aca="false">55*4900*0.82*12</f>
        <v>2651880</v>
      </c>
      <c r="C98" s="192" t="n">
        <f aca="false">N23</f>
        <v>580257.6</v>
      </c>
      <c r="D98" s="192" t="n">
        <f aca="false">B98+C98</f>
        <v>3232137.6</v>
      </c>
      <c r="E98" s="192" t="n">
        <f aca="false">55*Drivers!$E$25*12</f>
        <v>1821875</v>
      </c>
      <c r="F98" s="192" t="n">
        <f aca="false">D98*0.12</f>
        <v>387856.512</v>
      </c>
      <c r="G98" s="192" t="n">
        <f aca="false">E98+F98</f>
        <v>2209731.512</v>
      </c>
      <c r="H98" s="193" t="n">
        <f aca="false">D98-G98</f>
        <v>1022406.088</v>
      </c>
      <c r="I98" s="194" t="n">
        <f aca="false">IF(D98=0,0,H98/D98)</f>
        <v>0.316325050022623</v>
      </c>
      <c r="J98" s="195" t="s">
        <v>267</v>
      </c>
    </row>
    <row r="99" customFormat="false" ht="15.75" hidden="false" customHeight="true" outlineLevel="0" collapsed="false">
      <c r="A99" s="200" t="n">
        <v>0.84</v>
      </c>
      <c r="B99" s="188" t="n">
        <f aca="false">55*4900*0.84*12</f>
        <v>2716560</v>
      </c>
      <c r="C99" s="188" t="n">
        <f aca="false">N23</f>
        <v>580257.6</v>
      </c>
      <c r="D99" s="188" t="n">
        <f aca="false">B99+C99</f>
        <v>3296817.6</v>
      </c>
      <c r="E99" s="188" t="n">
        <f aca="false">55*Drivers!$E$25*12</f>
        <v>1821875</v>
      </c>
      <c r="F99" s="188" t="n">
        <f aca="false">D99*0.12</f>
        <v>395618.112</v>
      </c>
      <c r="G99" s="188" t="n">
        <f aca="false">E99+F99</f>
        <v>2217493.112</v>
      </c>
      <c r="H99" s="189" t="n">
        <f aca="false">D99-G99</f>
        <v>1079324.488</v>
      </c>
      <c r="I99" s="190" t="n">
        <f aca="false">IF(D99=0,0,H99/D99)</f>
        <v>0.327383743644174</v>
      </c>
    </row>
    <row r="100" customFormat="false" ht="15.75" hidden="false" customHeight="true" outlineLevel="0" collapsed="false">
      <c r="A100" s="199" t="n">
        <v>0.86</v>
      </c>
      <c r="B100" s="184" t="n">
        <f aca="false">55*4900*0.86*12</f>
        <v>2781240</v>
      </c>
      <c r="C100" s="184" t="n">
        <f aca="false">N23</f>
        <v>580257.6</v>
      </c>
      <c r="D100" s="184" t="n">
        <f aca="false">B100+C100</f>
        <v>3361497.6</v>
      </c>
      <c r="E100" s="184" t="n">
        <f aca="false">55*Drivers!$E$25*12</f>
        <v>1821875</v>
      </c>
      <c r="F100" s="184" t="n">
        <f aca="false">D100*0.12</f>
        <v>403379.712</v>
      </c>
      <c r="G100" s="184" t="n">
        <f aca="false">E100+F100</f>
        <v>2225254.712</v>
      </c>
      <c r="H100" s="185" t="n">
        <f aca="false">D100-G100</f>
        <v>1136242.888</v>
      </c>
      <c r="I100" s="186" t="n">
        <f aca="false">IF(D100=0,0,H100/D100)</f>
        <v>0.338016867243933</v>
      </c>
    </row>
    <row r="101" customFormat="false" ht="15.75" hidden="false" customHeight="true" outlineLevel="0" collapsed="false">
      <c r="A101" s="200" t="n">
        <v>0.88</v>
      </c>
      <c r="B101" s="188" t="n">
        <f aca="false">55*4900*0.88*12</f>
        <v>2845920</v>
      </c>
      <c r="C101" s="188" t="n">
        <f aca="false">N23</f>
        <v>580257.6</v>
      </c>
      <c r="D101" s="188" t="n">
        <f aca="false">B101+C101</f>
        <v>3426177.6</v>
      </c>
      <c r="E101" s="188" t="n">
        <f aca="false">55*Drivers!$E$25*12</f>
        <v>1821875</v>
      </c>
      <c r="F101" s="188" t="n">
        <f aca="false">D101*0.12</f>
        <v>411141.312</v>
      </c>
      <c r="G101" s="188" t="n">
        <f aca="false">E101+F101</f>
        <v>2233016.312</v>
      </c>
      <c r="H101" s="189" t="n">
        <f aca="false">D101-G101</f>
        <v>1193161.288</v>
      </c>
      <c r="I101" s="190" t="n">
        <f aca="false">IF(D101=0,0,H101/D101)</f>
        <v>0.348248522785275</v>
      </c>
    </row>
    <row r="102" customFormat="false" ht="15.75" hidden="false" customHeight="true" outlineLevel="0" collapsed="false">
      <c r="A102" s="199" t="n">
        <v>0.9</v>
      </c>
      <c r="B102" s="184" t="n">
        <f aca="false">55*4900*0.9*12</f>
        <v>2910600</v>
      </c>
      <c r="C102" s="184" t="n">
        <f aca="false">N23</f>
        <v>580257.6</v>
      </c>
      <c r="D102" s="184" t="n">
        <f aca="false">B102+C102</f>
        <v>3490857.6</v>
      </c>
      <c r="E102" s="184" t="n">
        <f aca="false">55*Drivers!$E$25*12</f>
        <v>1821875</v>
      </c>
      <c r="F102" s="184" t="n">
        <f aca="false">D102*0.12</f>
        <v>418902.912</v>
      </c>
      <c r="G102" s="184" t="n">
        <f aca="false">E102+F102</f>
        <v>2240777.912</v>
      </c>
      <c r="H102" s="185" t="n">
        <f aca="false">D102-G102</f>
        <v>1250079.688</v>
      </c>
      <c r="I102" s="186" t="n">
        <f aca="false">IF(D102=0,0,H102/D102)</f>
        <v>0.358101025948466</v>
      </c>
    </row>
    <row r="103" customFormat="false" ht="13.8" hidden="false" customHeight="false" outlineLevel="0" collapsed="false"/>
    <row r="104" customFormat="false" ht="13.8" hidden="false" customHeight="false" outlineLevel="0" collapsed="false"/>
    <row r="105" customFormat="false" ht="13.8" hidden="false" customHeight="false" outlineLevel="0" collapsed="false"/>
    <row r="106" customFormat="false" ht="13.8" hidden="false" customHeight="false" outlineLevel="0" collapsed="false"/>
    <row r="107" customFormat="false" ht="13.8" hidden="false" customHeight="false" outlineLevel="0" collapsed="false"/>
    <row r="108" customFormat="false" ht="13.8" hidden="false" customHeight="false" outlineLevel="0" collapsed="false"/>
    <row r="109" customFormat="false" ht="13.8" hidden="false" customHeight="false" outlineLevel="0" collapsed="false"/>
    <row r="110" customFormat="false" ht="13.8" hidden="false" customHeight="false" outlineLevel="0" collapsed="false"/>
    <row r="111" customFormat="false" ht="13.8" hidden="false" customHeight="false" outlineLevel="0" collapsed="false"/>
    <row r="112" customFormat="false" ht="13.8" hidden="false" customHeight="false" outlineLevel="0" collapsed="false"/>
    <row r="113" customFormat="false" ht="13.8" hidden="false" customHeight="false" outlineLevel="0" collapsed="false"/>
    <row r="114" customFormat="false" ht="13.8" hidden="false" customHeight="false" outlineLevel="0" collapsed="false"/>
    <row r="115" customFormat="false" ht="13.8" hidden="false" customHeight="false" outlineLevel="0" collapsed="false"/>
  </sheetData>
  <mergeCells count="21">
    <mergeCell ref="A1:Q1"/>
    <mergeCell ref="A2:Q2"/>
    <mergeCell ref="B3:H3"/>
    <mergeCell ref="I3:Q3"/>
    <mergeCell ref="B4:H4"/>
    <mergeCell ref="I4:Q4"/>
    <mergeCell ref="B5:H5"/>
    <mergeCell ref="I5:Q5"/>
    <mergeCell ref="A6:Q6"/>
    <mergeCell ref="C7:Q7"/>
    <mergeCell ref="A13:Q13"/>
    <mergeCell ref="A20:Q20"/>
    <mergeCell ref="A40:Q40"/>
    <mergeCell ref="A41:Q41"/>
    <mergeCell ref="A44:H44"/>
    <mergeCell ref="A50:Q50"/>
    <mergeCell ref="A65:Q65"/>
    <mergeCell ref="A66:Q66"/>
    <mergeCell ref="A68:I68"/>
    <mergeCell ref="A80:I80"/>
    <mergeCell ref="A90:I90"/>
  </mergeCells>
  <dataValidations count="2">
    <dataValidation allowBlank="false" errorStyle="stop" operator="between" showDropDown="false" showErrorMessage="false" showInputMessage="false" sqref="B7" type="list">
      <formula1>"Flat,Trend,Manual"</formula1>
      <formula2>0</formula2>
    </dataValidation>
    <dataValidation allowBlank="false" errorStyle="stop" operator="between" showDropDown="false" showErrorMessage="false" showInputMessage="false" sqref="B43" type="list">
      <formula1>"Base,Upside,Downside"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48"/>
  <sheetViews>
    <sheetView showFormulas="false" showGridLines="true" showRowColHeaders="true" showZeros="true" rightToLeft="false" tabSelected="false" showOutlineSymbols="true" defaultGridColor="true" view="normal" topLeftCell="A15" colorId="64" zoomScale="140" zoomScaleNormal="140" zoomScalePageLayoutView="100" workbookViewId="0">
      <selection pane="topLeft" activeCell="E29" activeCellId="0" sqref="E29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2" width="16.84"/>
    <col collapsed="false" customWidth="true" hidden="false" outlineLevel="0" max="2" min="2" style="2" width="28"/>
    <col collapsed="false" customWidth="true" hidden="false" outlineLevel="0" max="4" min="4" style="2" width="20"/>
    <col collapsed="false" customWidth="true" hidden="false" outlineLevel="0" max="5" min="5" style="2" width="55"/>
  </cols>
  <sheetData>
    <row r="2" customFormat="false" ht="24" hidden="false" customHeight="true" outlineLevel="0" collapsed="false">
      <c r="B2" s="202" t="s">
        <v>268</v>
      </c>
      <c r="C2" s="202"/>
      <c r="D2" s="202"/>
      <c r="E2" s="202"/>
      <c r="F2" s="202"/>
    </row>
    <row r="3" customFormat="false" ht="15" hidden="false" customHeight="false" outlineLevel="0" collapsed="false">
      <c r="B3" s="203" t="s">
        <v>269</v>
      </c>
      <c r="C3" s="203"/>
      <c r="D3" s="203" t="s">
        <v>270</v>
      </c>
      <c r="E3" s="203" t="s">
        <v>271</v>
      </c>
    </row>
    <row r="4" customFormat="false" ht="15.75" hidden="false" customHeight="true" outlineLevel="0" collapsed="false">
      <c r="B4" s="204" t="s">
        <v>272</v>
      </c>
    </row>
    <row r="5" customFormat="false" ht="15.75" hidden="false" customHeight="true" outlineLevel="0" collapsed="false">
      <c r="B5" s="205" t="s">
        <v>273</v>
      </c>
      <c r="C5" s="205"/>
      <c r="D5" s="205" t="s">
        <v>274</v>
      </c>
      <c r="E5" s="205" t="s">
        <v>275</v>
      </c>
    </row>
    <row r="6" customFormat="false" ht="15.75" hidden="false" customHeight="true" outlineLevel="0" collapsed="false">
      <c r="B6" s="205" t="s">
        <v>276</v>
      </c>
      <c r="D6" s="206" t="s">
        <v>277</v>
      </c>
      <c r="E6" s="207" t="s">
        <v>278</v>
      </c>
    </row>
    <row r="7" customFormat="false" ht="15.75" hidden="false" customHeight="true" outlineLevel="0" collapsed="false">
      <c r="B7" s="205" t="s">
        <v>279</v>
      </c>
      <c r="D7" s="206" t="s">
        <v>280</v>
      </c>
      <c r="E7" s="207" t="s">
        <v>281</v>
      </c>
    </row>
    <row r="8" customFormat="false" ht="15.75" hidden="false" customHeight="true" outlineLevel="0" collapsed="false">
      <c r="B8" s="205" t="s">
        <v>282</v>
      </c>
      <c r="D8" s="206" t="s">
        <v>283</v>
      </c>
      <c r="E8" s="207" t="s">
        <v>284</v>
      </c>
    </row>
    <row r="9" customFormat="false" ht="15.75" hidden="false" customHeight="true" outlineLevel="0" collapsed="false">
      <c r="B9" s="205" t="s">
        <v>285</v>
      </c>
      <c r="D9" s="206" t="s">
        <v>286</v>
      </c>
      <c r="E9" s="207" t="s">
        <v>287</v>
      </c>
    </row>
    <row r="10" customFormat="false" ht="15.75" hidden="false" customHeight="true" outlineLevel="0" collapsed="false">
      <c r="B10" s="205" t="s">
        <v>288</v>
      </c>
      <c r="D10" s="206" t="s">
        <v>289</v>
      </c>
      <c r="E10" s="207" t="s">
        <v>290</v>
      </c>
    </row>
    <row r="11" customFormat="false" ht="15.75" hidden="false" customHeight="true" outlineLevel="0" collapsed="false">
      <c r="B11" s="205" t="s">
        <v>291</v>
      </c>
      <c r="D11" s="206" t="s">
        <v>292</v>
      </c>
      <c r="E11" s="207" t="s">
        <v>293</v>
      </c>
    </row>
    <row r="12" customFormat="false" ht="15.75" hidden="false" customHeight="true" outlineLevel="0" collapsed="false">
      <c r="B12" s="205" t="s">
        <v>187</v>
      </c>
      <c r="D12" s="206" t="s">
        <v>294</v>
      </c>
      <c r="E12" s="207" t="s">
        <v>295</v>
      </c>
    </row>
    <row r="13" customFormat="false" ht="15.75" hidden="false" customHeight="true" outlineLevel="0" collapsed="false">
      <c r="B13" s="205"/>
    </row>
    <row r="14" customFormat="false" ht="15.75" hidden="false" customHeight="true" outlineLevel="0" collapsed="false">
      <c r="B14" s="204" t="s">
        <v>296</v>
      </c>
    </row>
    <row r="15" customFormat="false" ht="15.75" hidden="false" customHeight="true" outlineLevel="0" collapsed="false">
      <c r="B15" s="205" t="s">
        <v>297</v>
      </c>
      <c r="D15" s="206" t="s">
        <v>298</v>
      </c>
      <c r="E15" s="207" t="s">
        <v>299</v>
      </c>
    </row>
    <row r="16" customFormat="false" ht="15.75" hidden="false" customHeight="true" outlineLevel="0" collapsed="false">
      <c r="B16" s="205" t="s">
        <v>300</v>
      </c>
      <c r="D16" s="206" t="s">
        <v>301</v>
      </c>
      <c r="E16" s="207" t="s">
        <v>302</v>
      </c>
    </row>
    <row r="17" customFormat="false" ht="15.75" hidden="false" customHeight="true" outlineLevel="0" collapsed="false">
      <c r="B17" s="205"/>
      <c r="D17" s="206"/>
      <c r="E17" s="207"/>
    </row>
    <row r="18" customFormat="false" ht="15.75" hidden="false" customHeight="true" outlineLevel="0" collapsed="false">
      <c r="B18" s="39" t="s">
        <v>303</v>
      </c>
      <c r="C18" s="39"/>
      <c r="D18" s="39"/>
      <c r="E18" s="39"/>
    </row>
    <row r="19" customFormat="false" ht="21.65" hidden="false" customHeight="false" outlineLevel="0" collapsed="false">
      <c r="B19" s="205" t="s">
        <v>304</v>
      </c>
      <c r="D19" s="208" t="s">
        <v>305</v>
      </c>
      <c r="E19" s="209" t="s">
        <v>306</v>
      </c>
    </row>
    <row r="20" customFormat="false" ht="15" hidden="false" customHeight="false" outlineLevel="0" collapsed="false">
      <c r="B20" s="205" t="s">
        <v>307</v>
      </c>
      <c r="D20" s="208" t="s">
        <v>308</v>
      </c>
      <c r="E20" s="209" t="s">
        <v>309</v>
      </c>
    </row>
    <row r="21" customFormat="false" ht="15" hidden="false" customHeight="false" outlineLevel="0" collapsed="false">
      <c r="B21" s="205" t="s">
        <v>310</v>
      </c>
      <c r="D21" s="208" t="s">
        <v>311</v>
      </c>
      <c r="E21" s="209" t="s">
        <v>312</v>
      </c>
    </row>
    <row r="22" customFormat="false" ht="15" hidden="false" customHeight="false" outlineLevel="0" collapsed="false">
      <c r="B22" s="205" t="s">
        <v>313</v>
      </c>
      <c r="D22" s="208" t="s">
        <v>314</v>
      </c>
      <c r="E22" s="209" t="s">
        <v>315</v>
      </c>
    </row>
    <row r="23" customFormat="false" ht="21.65" hidden="false" customHeight="false" outlineLevel="0" collapsed="false">
      <c r="B23" s="205" t="s">
        <v>316</v>
      </c>
      <c r="D23" s="208" t="s">
        <v>317</v>
      </c>
      <c r="E23" s="209" t="s">
        <v>318</v>
      </c>
    </row>
    <row r="24" customFormat="false" ht="15" hidden="false" customHeight="false" outlineLevel="0" collapsed="false">
      <c r="B24" s="205" t="s">
        <v>319</v>
      </c>
      <c r="D24" s="208" t="s">
        <v>320</v>
      </c>
      <c r="E24" s="209" t="s">
        <v>321</v>
      </c>
    </row>
    <row r="25" customFormat="false" ht="15" hidden="false" customHeight="false" outlineLevel="0" collapsed="false">
      <c r="B25" s="205" t="s">
        <v>322</v>
      </c>
      <c r="D25" s="208" t="s">
        <v>323</v>
      </c>
      <c r="E25" s="209" t="s">
        <v>324</v>
      </c>
    </row>
    <row r="26" customFormat="false" ht="15" hidden="false" customHeight="false" outlineLevel="0" collapsed="false">
      <c r="B26" s="205" t="s">
        <v>325</v>
      </c>
      <c r="D26" s="208" t="s">
        <v>326</v>
      </c>
      <c r="E26" s="209" t="s">
        <v>327</v>
      </c>
    </row>
    <row r="27" customFormat="false" ht="21.65" hidden="false" customHeight="false" outlineLevel="0" collapsed="false">
      <c r="B27" s="205" t="s">
        <v>328</v>
      </c>
      <c r="D27" s="210" t="s">
        <v>329</v>
      </c>
      <c r="E27" s="209" t="s">
        <v>330</v>
      </c>
    </row>
    <row r="28" customFormat="false" ht="15" hidden="false" customHeight="false" outlineLevel="0" collapsed="false">
      <c r="B28" s="205" t="s">
        <v>331</v>
      </c>
      <c r="D28" s="210" t="s">
        <v>332</v>
      </c>
      <c r="E28" s="209" t="s">
        <v>333</v>
      </c>
    </row>
    <row r="29" customFormat="false" ht="15" hidden="false" customHeight="false" outlineLevel="0" collapsed="false">
      <c r="B29" s="205" t="s">
        <v>334</v>
      </c>
      <c r="D29" s="210" t="s">
        <v>335</v>
      </c>
      <c r="E29" s="209" t="s">
        <v>336</v>
      </c>
    </row>
    <row r="30" customFormat="false" ht="15.75" hidden="false" customHeight="true" outlineLevel="0" collapsed="false">
      <c r="B30" s="205"/>
      <c r="E30" s="211" t="s">
        <v>337</v>
      </c>
    </row>
    <row r="31" customFormat="false" ht="15.75" hidden="false" customHeight="true" outlineLevel="0" collapsed="false">
      <c r="B31" s="205"/>
      <c r="D31" s="206"/>
      <c r="E31" s="207"/>
    </row>
    <row r="32" customFormat="false" ht="15.75" hidden="false" customHeight="true" outlineLevel="0" collapsed="false">
      <c r="B32" s="205"/>
      <c r="D32" s="206"/>
      <c r="E32" s="207"/>
    </row>
    <row r="33" customFormat="false" ht="15.75" hidden="false" customHeight="true" outlineLevel="0" collapsed="false">
      <c r="B33" s="205"/>
    </row>
    <row r="34" customFormat="false" ht="15.75" hidden="false" customHeight="true" outlineLevel="0" collapsed="false">
      <c r="B34" s="204" t="s">
        <v>338</v>
      </c>
    </row>
    <row r="35" customFormat="false" ht="15.75" hidden="false" customHeight="true" outlineLevel="0" collapsed="false">
      <c r="B35" s="205" t="s">
        <v>339</v>
      </c>
      <c r="D35" s="206" t="s">
        <v>340</v>
      </c>
      <c r="E35" s="212" t="s">
        <v>341</v>
      </c>
    </row>
    <row r="36" customFormat="false" ht="15.75" hidden="false" customHeight="true" outlineLevel="0" collapsed="false">
      <c r="B36" s="205" t="s">
        <v>342</v>
      </c>
      <c r="D36" s="206" t="s">
        <v>343</v>
      </c>
      <c r="E36" s="212" t="s">
        <v>344</v>
      </c>
    </row>
    <row r="37" customFormat="false" ht="15.75" hidden="false" customHeight="true" outlineLevel="0" collapsed="false">
      <c r="B37" s="205" t="s">
        <v>345</v>
      </c>
      <c r="D37" s="206" t="s">
        <v>340</v>
      </c>
      <c r="E37" s="212" t="s">
        <v>346</v>
      </c>
    </row>
    <row r="38" customFormat="false" ht="15.75" hidden="false" customHeight="true" outlineLevel="0" collapsed="false">
      <c r="B38" s="157" t="s">
        <v>347</v>
      </c>
      <c r="C38" s="206" t="s">
        <v>348</v>
      </c>
      <c r="E38" s="212" t="s">
        <v>349</v>
      </c>
    </row>
    <row r="39" customFormat="false" ht="15.75" hidden="false" customHeight="true" outlineLevel="0" collapsed="false">
      <c r="B39" s="205"/>
      <c r="C39" s="213"/>
      <c r="E39" s="212"/>
    </row>
    <row r="40" customFormat="false" ht="15.75" hidden="false" customHeight="true" outlineLevel="0" collapsed="false">
      <c r="B40" s="204" t="s">
        <v>350</v>
      </c>
    </row>
    <row r="41" customFormat="false" ht="15.75" hidden="false" customHeight="true" outlineLevel="0" collapsed="false">
      <c r="B41" s="205" t="s">
        <v>351</v>
      </c>
      <c r="D41" s="206" t="s">
        <v>352</v>
      </c>
      <c r="E41" s="207" t="s">
        <v>353</v>
      </c>
    </row>
    <row r="42" customFormat="false" ht="15.75" hidden="false" customHeight="true" outlineLevel="0" collapsed="false">
      <c r="B42" s="205" t="s">
        <v>354</v>
      </c>
      <c r="D42" s="206" t="s">
        <v>355</v>
      </c>
    </row>
    <row r="43" customFormat="false" ht="15.75" hidden="false" customHeight="true" outlineLevel="0" collapsed="false">
      <c r="B43" s="205" t="s">
        <v>356</v>
      </c>
      <c r="D43" s="206" t="s">
        <v>357</v>
      </c>
    </row>
    <row r="47" customFormat="false" ht="15" hidden="false" customHeight="false" outlineLevel="0" collapsed="false">
      <c r="A47" s="149" t="s">
        <v>358</v>
      </c>
      <c r="B47" s="214" t="s">
        <v>359</v>
      </c>
      <c r="C47" s="212"/>
    </row>
    <row r="48" customFormat="false" ht="63" hidden="false" customHeight="true" outlineLevel="0" collapsed="false">
      <c r="A48" s="215" t="s">
        <v>360</v>
      </c>
      <c r="B48" s="215"/>
      <c r="C48" s="215"/>
      <c r="D48" s="215"/>
    </row>
  </sheetData>
  <mergeCells count="3">
    <mergeCell ref="B2:F2"/>
    <mergeCell ref="B18:E18"/>
    <mergeCell ref="A48:D4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2026-06-12T23:34:40Z</dcterms:created>
  <dc:creator>openpyxl</dc:creator>
  <dc:description/>
  <dc:language>pt-PT</dc:language>
  <cp:lastModifiedBy/>
  <dcterms:modified xsi:type="dcterms:W3CDTF">2026-07-09T09:26:34Z</dcterms:modified>
  <cp:revision>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