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charts/colors3.xml" ContentType="application/vnd.ms-office.chartcolorstyle+xml"/>
  <Override PartName="/xl/charts/style2.xml" ContentType="application/vnd.ms-office.chartsty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style1.xml" ContentType="application/vnd.ms-office.chartstyle+xml"/>
  <Override PartName="/xl/charts/chart3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style3.xml" ContentType="application/vnd.ms-office.chart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4"/>
  </bookViews>
  <sheets>
    <sheet name="RawData" sheetId="1" state="visible" r:id="rId3"/>
    <sheet name="YoY Bridge" sheetId="2" state="visible" r:id="rId4"/>
    <sheet name="Drivers" sheetId="3" state="visible" r:id="rId5"/>
    <sheet name="Variance" sheetId="4" state="visible" r:id="rId6"/>
    <sheet name="P&amp;L" sheetId="5" state="visible" r:id="rId7"/>
    <sheet name="Dashboard" sheetId="6" state="visible" r:id="rId8"/>
    <sheet name="_Info" sheetId="7" state="visible" r:id="rId9"/>
    <sheet name="Assumptions" sheetId="8" state="visible" r:id="rId1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<sst xmlns="http://schemas.openxmlformats.org/spreadsheetml/2006/main" count="342" uniqueCount="219">
  <si>
    <t xml:space="preserve">Year</t>
  </si>
  <si>
    <t xml:space="preserve">Month</t>
  </si>
  <si>
    <t xml:space="preserve">Month_Num</t>
  </si>
  <si>
    <t xml:space="preserve">Revenue_Consulting</t>
  </si>
  <si>
    <t xml:space="preserve">Revenue_ManagedServices</t>
  </si>
  <si>
    <t xml:space="preserve">Cost_Personnel</t>
  </si>
  <si>
    <t xml:space="preserve">Cost_Operations</t>
  </si>
  <si>
    <t xml:space="preserve">Cost_Other</t>
  </si>
  <si>
    <t xml:space="preserve">Budget_RevConsulting</t>
  </si>
  <si>
    <t xml:space="preserve">Budget_RevMS</t>
  </si>
  <si>
    <t xml:space="preserve">Budget_CostPersonnel</t>
  </si>
  <si>
    <t xml:space="preserve">Budget_CostOps</t>
  </si>
  <si>
    <t xml:space="preserve">Budget_CostOther</t>
  </si>
  <si>
    <t xml:space="preserve">Jan</t>
  </si>
  <si>
    <t xml:space="preserve">Feb</t>
  </si>
  <si>
    <t xml:space="preserve">Mar</t>
  </si>
  <si>
    <t xml:space="preserve">Apr</t>
  </si>
  <si>
    <t xml:space="preserve">May</t>
  </si>
  <si>
    <t xml:space="preserve">Jun</t>
  </si>
  <si>
    <t xml:space="preserve">Jul</t>
  </si>
  <si>
    <t xml:space="preserve">Aug</t>
  </si>
  <si>
    <t xml:space="preserve">Sep</t>
  </si>
  <si>
    <t xml:space="preserve">Oct</t>
  </si>
  <si>
    <t xml:space="preserve">Nov</t>
  </si>
  <si>
    <t xml:space="preserve">Dec</t>
  </si>
  <si>
    <t xml:space="preserve">Source: NovaTech Consulting Lda. — Internal Financial Data (Fictitious)</t>
  </si>
  <si>
    <t xml:space="preserve">NovaTech — YoY Revenue Bridge 2022 → 2023 (Wednesday) | 2023 → 2024 (Friday)</t>
  </si>
  <si>
    <t xml:space="preserve">Bridge = Opening + Volume effect + Rate effect + Mix effect = Closing. Each component explains ONE cause.</t>
  </si>
  <si>
    <t xml:space="preserve">Component</t>
  </si>
  <si>
    <t xml:space="preserve">€ Amount</t>
  </si>
  <si>
    <t xml:space="preserve">% of Opening Rev</t>
  </si>
  <si>
    <t xml:space="preserve">Formula</t>
  </si>
  <si>
    <t xml:space="preserve">Explanation</t>
  </si>
  <si>
    <t xml:space="preserve">REVENUE BRIDGE: 2022 → 2023</t>
  </si>
  <si>
    <t xml:space="preserve">Opening Revenue 2022</t>
  </si>
  <si>
    <t xml:space="preserve">historical total</t>
  </si>
  <si>
    <t xml:space="preserve">Starting point — 2022 actual revenue</t>
  </si>
  <si>
    <t xml:space="preserve">Volume effect</t>
  </si>
  <si>
    <t xml:space="preserve">(HC23−HC22) × Rate22 × 12</t>
  </si>
  <si>
    <t xml:space="preserve">(47−42) × €4,000 × 12 = +€240,000
More people at same rate))</t>
  </si>
  <si>
    <t xml:space="preserve">Rate effect</t>
  </si>
  <si>
    <t xml:space="preserve">HC23 × (Rate23−Rate22) × 12</t>
  </si>
  <si>
    <t xml:space="preserve">47 × €300 × 12 = +€169,200
Same people, higher billing rate</t>
  </si>
  <si>
    <t xml:space="preserve">Mix effect</t>
  </si>
  <si>
    <t xml:space="preserve">0 (stable mix)</t>
  </si>
  <si>
    <t xml:space="preserve">MS stayed at ~20% of total — no mix shift</t>
  </si>
  <si>
    <t xml:space="preserve">Closing Revenue 2023</t>
  </si>
  <si>
    <t xml:space="preserve">opening + all effects</t>
  </si>
  <si>
    <t xml:space="preserve">Actual: €2,390,400 | Bridge: €2,500,800
⚠ Gap of €-110,400 = rounding in rate assumption</t>
  </si>
  <si>
    <t xml:space="preserve">REVENUE BRIDGE: 2023 → 2024</t>
  </si>
  <si>
    <t xml:space="preserve">Opening Revenue 2023</t>
  </si>
  <si>
    <t xml:space="preserve">(HC24−HC23) × Rate23 × 12</t>
  </si>
  <si>
    <t xml:space="preserve">(52−47) × €4,300 × 12 = +€258,000
More people at same rate))</t>
  </si>
  <si>
    <t xml:space="preserve">HC24 × (Rate24−Rate23) × 12</t>
  </si>
  <si>
    <t xml:space="preserve">52 × €300 × 12 = +€187,200
Same people, higher billing rate</t>
  </si>
  <si>
    <t xml:space="preserve">Closing Revenue 2024</t>
  </si>
  <si>
    <t xml:space="preserve">Actual: €2,639,800 | Bridge: €2,835,600
⚠ Gap of €-195,800 = rounding in rate assumption</t>
  </si>
  <si>
    <t xml:space="preserve">EBITDA SUMMARY</t>
  </si>
  <si>
    <t xml:space="preserve">Revenue</t>
  </si>
  <si>
    <t xml:space="preserve">Total Costs</t>
  </si>
  <si>
    <t xml:space="preserve">EBITDA</t>
  </si>
  <si>
    <t xml:space="preserve">EBITDA Margin %</t>
  </si>
  <si>
    <t xml:space="preserve">NovaTech Consulting Lda. — Business Drivers (Input Sheet)</t>
  </si>
  <si>
    <t xml:space="preserve">YELLOW = assumption  | BLUE text = formula (calculated) | Change yellow cells to model scenarios</t>
  </si>
  <si>
    <t xml:space="preserve">HEADCOUNT (FTE) — monthly</t>
  </si>
  <si>
    <t xml:space="preserve">AVG</t>
  </si>
  <si>
    <t xml:space="preserve">Assumption note</t>
  </si>
  <si>
    <t xml:space="preserve">ASSUMPTION — 42 FTEs year-end 2022. Monthly values estimated with slight ramp.</t>
  </si>
  <si>
    <t xml:space="preserve">ASSUMPTION — 47 FTEs year-end 2023. +5 FTEs vs 2022.</t>
  </si>
  <si>
    <t xml:space="preserve">ASSUMPTION — 52 FTEs year-end 2024. +5 FTEs vs 2023. Change this to model scenarios.</t>
  </si>
  <si>
    <t xml:space="preserve">BILLING RATE (€/head/month) — consulting only</t>
  </si>
  <si>
    <t xml:space="preserve">AVG Rate</t>
  </si>
  <si>
    <t xml:space="preserve">ASSUMPTION — €4,000/month derived from: €1,671,600 ÷ 42 HC ÷ 12 = €3,317. Rounded up to reflect blended rate incl. MS.</t>
  </si>
  <si>
    <t xml:space="preserve">ASSUMPTION — €4,300/month. €1,910,400 ÷ 47 ÷ 12 = €3,388. Rate increase reflects mix improvement.</t>
  </si>
  <si>
    <t xml:space="preserve">ASSUMPTION — €4,600/month. €2,109,400 ÷ 52 ÷ 12 = €3,380. </t>
  </si>
  <si>
    <t xml:space="preserve">MANAGED SERVICES REVENUE (flat — recurring contracts)</t>
  </si>
  <si>
    <t xml:space="preserve">ASSUMPTION — €420,000/year ÷ 12 = €35,000/month flat. Recurring contracts.</t>
  </si>
  <si>
    <t xml:space="preserve">ASSUMPTION — €480,000/year ÷ 12 = €40,000/month flat. Recurring contracts.</t>
  </si>
  <si>
    <t xml:space="preserve">ASSUMPTION — €530,000/year ÷ 12 = €44,200/month flat. Recurring contracts.</t>
  </si>
  <si>
    <t xml:space="preserve">COST PER HEAD SUMMARY (derived — do not edit)</t>
  </si>
  <si>
    <t xml:space="preserve">Total Personnel Cost</t>
  </si>
  <si>
    <t xml:space="preserve">Avg HC</t>
  </si>
  <si>
    <t xml:space="preserve">Cost/Head/Year</t>
  </si>
  <si>
    <t xml:space="preserve">Cost/Head/Month</t>
  </si>
  <si>
    <t xml:space="preserve">Note</t>
  </si>
  <si>
    <t xml:space="preserve">DERIVED from RawData — not an assumption</t>
  </si>
  <si>
    <t xml:space="preserve">NovaTech Consulting Lda. — Variance Analysis:Budget 2025 vs Actuals</t>
  </si>
  <si>
    <t xml:space="preserve">Actuals = 2024 data (proxy) | Budget = 2025 targets from RawData | Variance = Actual - Budget</t>
  </si>
  <si>
    <t xml:space="preserve">Category</t>
  </si>
  <si>
    <t xml:space="preserve">Fev </t>
  </si>
  <si>
    <t xml:space="preserve">May </t>
  </si>
  <si>
    <t xml:space="preserve">TOTAL</t>
  </si>
  <si>
    <t xml:space="preserve">Var € Total</t>
  </si>
  <si>
    <t xml:space="preserve">Var % Total</t>
  </si>
  <si>
    <t xml:space="preserve">Comments</t>
  </si>
  <si>
    <t xml:space="preserve">Consulting Fees</t>
  </si>
  <si>
    <t xml:space="preserve">"Abaixo do budget em 8.6% — shortfall consistente em todos os meses sugere problema de volume (menos FTEs que planeado) ou billing rate abaixo do assumido. Não é problema sazonal." </t>
  </si>
  <si>
    <t xml:space="preserve">Managed Services</t>
  </si>
  <si>
    <t xml:space="preserve">Abaixo do budget em 8.6%. MS é receita recorrente flat — variância negativa uniforme indica contratos renovados abaixo do valor orçamentado para 2025." </t>
  </si>
  <si>
    <t xml:space="preserve">Total Revenue</t>
  </si>
  <si>
    <t xml:space="preserve">"Shortfall total de €248,700. Variância idêntica em % nas duas linhas elimina mix como causa — problema de volume ou preço." </t>
  </si>
  <si>
    <t xml:space="preserve">Costs</t>
  </si>
  <si>
    <t xml:space="preserve">Personnel</t>
  </si>
  <si>
    <t xml:space="preserve">"Custos abaixo do budget em 8.6% — proporcional ao shortfall de receita. Não é poupança real: reflecte headcount abaixo do plano que causou simultaneamente menos receita e menos custo." </t>
  </si>
  <si>
    <t xml:space="preserve">Operations</t>
  </si>
  <si>
    <t xml:space="preserve">"Abaixo do budget em 8.6% — custos variáveis que escalaram com a actividade. Comportamento esperado e proporcional." </t>
  </si>
  <si>
    <t xml:space="preserve">Other</t>
  </si>
  <si>
    <t xml:space="preserve">"Abaixo do budget em 8.5% — ligeiramente menos proporcional, sugerindo pequena componente fixa." </t>
  </si>
  <si>
    <t xml:space="preserve">"EBITDA abaixo em valor absoluto- O problema é de volume — a empresa foi eficiente mas não gerou actividade suficiente para atingir o budget." </t>
  </si>
  <si>
    <t xml:space="preserve">Check</t>
  </si>
  <si>
    <t xml:space="preserve">+</t>
  </si>
  <si>
    <t xml:space="preserve">0;</t>
  </si>
  <si>
    <t xml:space="preserve">(</t>
  </si>
  <si>
    <t xml:space="preserve">Actual Revenue 2024</t>
  </si>
  <si>
    <t xml:space="preserve">Budget Revenue 2025</t>
  </si>
  <si>
    <t xml:space="preserve">Variance €</t>
  </si>
  <si>
    <t xml:space="preserve">jan</t>
  </si>
  <si>
    <t xml:space="preserve">fev</t>
  </si>
  <si>
    <t xml:space="preserve">mar</t>
  </si>
  <si>
    <t xml:space="preserve">abr</t>
  </si>
  <si>
    <t xml:space="preserve">mai</t>
  </si>
  <si>
    <t xml:space="preserve">jun</t>
  </si>
  <si>
    <t xml:space="preserve">jul</t>
  </si>
  <si>
    <t xml:space="preserve">ago</t>
  </si>
  <si>
    <t xml:space="preserve">set</t>
  </si>
  <si>
    <t xml:space="preserve">out</t>
  </si>
  <si>
    <t xml:space="preserve">)</t>
  </si>
  <si>
    <t xml:space="preserve">nov</t>
  </si>
  <si>
    <t xml:space="preserve">/</t>
  </si>
  <si>
    <t xml:space="preserve">dez</t>
  </si>
  <si>
    <t xml:space="preserve">Actual Cost 2024</t>
  </si>
  <si>
    <t xml:space="preserve">Budget Cost 2025</t>
  </si>
  <si>
    <t xml:space="preserve">-</t>
  </si>
  <si>
    <t xml:space="preserve">NovaTech Consulting Lda. — Profit &amp; Loss Statement</t>
  </si>
  <si>
    <t xml:space="preserve">Row Label</t>
  </si>
  <si>
    <t xml:space="preserve">% of Revenue</t>
  </si>
  <si>
    <t xml:space="preserve">  Consulting Fees</t>
  </si>
  <si>
    <t xml:space="preserve">  Managed Services</t>
  </si>
  <si>
    <t xml:space="preserve">  Personnel</t>
  </si>
  <si>
    <t xml:space="preserve">  Operations</t>
  </si>
  <si>
    <t xml:space="preserve">  Other</t>
  </si>
  <si>
    <t xml:space="preserve">GROSS PROFIT</t>
  </si>
  <si>
    <t xml:space="preserve">  EBITDA Margin %</t>
  </si>
  <si>
    <t xml:space="preserve">D&amp;A (2% rev)</t>
  </si>
  <si>
    <t xml:space="preserve">EBIT</t>
  </si>
  <si>
    <t xml:space="preserve">Tax (21%)</t>
  </si>
  <si>
    <t xml:space="preserve">NET INCOME</t>
  </si>
  <si>
    <t xml:space="preserve">Dashboard — to be built in Week 5 (Power BI)</t>
  </si>
  <si>
    <t xml:space="preserve">NovaTech Consulting Lda. — Modelo FP&amp;A</t>
  </si>
  <si>
    <t xml:space="preserve">FICHEIRO FICTÍCIO para prática de FP&amp;A</t>
  </si>
  <si>
    <t xml:space="preserve">ESTRUTURA:</t>
  </si>
  <si>
    <t xml:space="preserve">  RawData   → Dados históricos mensais 2022-2024 + Budget 2025</t>
  </si>
  <si>
    <t xml:space="preserve">  P&amp;L       → Estrutura do P&amp;L (fórmulas a construir na Semana 2)</t>
  </si>
  <si>
    <t xml:space="preserve">  Dashboard → Vazio (Power BI na Semana 5)</t>
  </si>
  <si>
    <t xml:space="preserve">CONVENÇÕES DE CORES:</t>
  </si>
  <si>
    <t xml:space="preserve">  Texto azul   → Inputs hardcoded (números que podes alterar)</t>
  </si>
  <si>
    <t xml:space="preserve">  Texto preto  → Fórmulas calculadas</t>
  </si>
  <si>
    <t xml:space="preserve">  Texto verde  → Links de outras sheets</t>
  </si>
  <si>
    <t xml:space="preserve">EMPRESA:</t>
  </si>
  <si>
    <t xml:space="preserve">  Consultora de IT e gestão, Lisboa</t>
  </si>
  <si>
    <t xml:space="preserve">  40-55 colaboradores, revenues ~€2.1M-2.65M (2022-2024)</t>
  </si>
  <si>
    <t xml:space="preserve">  Sazonalidade: Q1 fraco (~20%), Q2-Q3 forte (~55%), Q4 médio (~25%)</t>
  </si>
  <si>
    <t xml:space="preserve">Model Assumptions — NovaTech Consulting Lda.</t>
  </si>
  <si>
    <t xml:space="preserve">Assumption</t>
  </si>
  <si>
    <t xml:space="preserve">Value</t>
  </si>
  <si>
    <t xml:space="preserve">Source / Notes</t>
  </si>
  <si>
    <t xml:space="preserve">SEASONALITY</t>
  </si>
  <si>
    <t xml:space="preserve">MS revenue is FLAT (recurring contracts ÷12). Consulting revenue is seasonal. This is intentional and realistic.</t>
  </si>
  <si>
    <t xml:space="preserve">January weight</t>
  </si>
  <si>
    <t xml:space="preserve">6.0%</t>
  </si>
  <si>
    <t xml:space="preserve">Estimate based on typical IT consultancy pattern — Q1 slow start</t>
  </si>
  <si>
    <t xml:space="preserve">February weight</t>
  </si>
  <si>
    <t xml:space="preserve">6.5%</t>
  </si>
  <si>
    <t xml:space="preserve">Estimate — gradually increasing</t>
  </si>
  <si>
    <t xml:space="preserve">March weight</t>
  </si>
  <si>
    <t xml:space="preserve">7.5%</t>
  </si>
  <si>
    <t xml:space="preserve">Estimate — end of Q1 pickup</t>
  </si>
  <si>
    <t xml:space="preserve">April–June weight</t>
  </si>
  <si>
    <t xml:space="preserve">~9.0-9.5% each</t>
  </si>
  <si>
    <t xml:space="preserve">Estimate — Q2 peak activity</t>
  </si>
  <si>
    <t xml:space="preserve">July–September weight</t>
  </si>
  <si>
    <t xml:space="preserve">~8.5-9.5% each</t>
  </si>
  <si>
    <t xml:space="preserve">Estimate — Q3 strong, slight Aug dip</t>
  </si>
  <si>
    <t xml:space="preserve">October–December weight</t>
  </si>
  <si>
    <t xml:space="preserve">~8.0-8.5% each</t>
  </si>
  <si>
    <t xml:space="preserve">Estimate — Q4 moderate</t>
  </si>
  <si>
    <t xml:space="preserve">Source</t>
  </si>
  <si>
    <t xml:space="preserve">Internal estimate</t>
  </si>
  <si>
    <t xml:space="preserve">⚠ To be recalculated from historical data in Week 4 forecasting model</t>
  </si>
  <si>
    <t xml:space="preserve">FINANCIAL ASSUMPTIONS</t>
  </si>
  <si>
    <t xml:space="preserve">D&amp;A rate</t>
  </si>
  <si>
    <t xml:space="preserve">2% of Revenue</t>
  </si>
  <si>
    <t xml:space="preserve">Assumption — low asset base for consultancy</t>
  </si>
  <si>
    <t xml:space="preserve">IRC Tax rate</t>
  </si>
  <si>
    <t xml:space="preserve">21%</t>
  </si>
  <si>
    <t xml:space="preserve">Portugal corporate tax rate 2024</t>
  </si>
  <si>
    <t xml:space="preserve">Personnel as % Rev</t>
  </si>
  <si>
    <t xml:space="preserve">~65%</t>
  </si>
  <si>
    <t xml:space="preserve">Derived from historical data 2022-2024</t>
  </si>
  <si>
    <t xml:space="preserve">Operations as % Rev</t>
  </si>
  <si>
    <t xml:space="preserve">~8%</t>
  </si>
  <si>
    <t xml:space="preserve">Derived from historical data</t>
  </si>
  <si>
    <t xml:space="preserve">VARIANCE CONVENTION</t>
  </si>
  <si>
    <t xml:space="preserve">Revenue variance</t>
  </si>
  <si>
    <t xml:space="preserve">Actual - Budget</t>
  </si>
  <si>
    <t xml:space="preserve">Positive = outperformed budget (good)</t>
  </si>
  <si>
    <t xml:space="preserve">Cost variance</t>
  </si>
  <si>
    <t xml:space="preserve">Budget - Actual</t>
  </si>
  <si>
    <t xml:space="preserve">Positive = under budget (good)</t>
  </si>
  <si>
    <t xml:space="preserve">EBITDA variance</t>
  </si>
  <si>
    <t xml:space="preserve">Positive = better than planned (good)</t>
  </si>
  <si>
    <t xml:space="preserve">MODEL VERSION</t>
  </si>
  <si>
    <t xml:space="preserve">Version</t>
  </si>
  <si>
    <t xml:space="preserve">Week 2 target</t>
  </si>
  <si>
    <t xml:space="preserve">Variance Analysis complete — Forecasting in Week 4</t>
  </si>
  <si>
    <t xml:space="preserve">Last updated</t>
  </si>
  <si>
    <t xml:space="preserve">June 2025</t>
  </si>
  <si>
    <t xml:space="preserve">Author</t>
  </si>
  <si>
    <t xml:space="preserve">Daniela Marques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</si>
</sst>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0"/>
    <numFmt numFmtId="166" formatCode="#,##0;\(#,##0\);\-"/>
    <numFmt numFmtId="167" formatCode="0.0%"/>
    <numFmt numFmtId="168" formatCode="0.0"/>
    <numFmt numFmtId="169" formatCode="[$-409]#,##0.00_);\(#,##0.00\)"/>
    <numFmt numFmtId="170" formatCode="[$-409]0.00%"/>
    <numFmt numFmtId="171" formatCode="0.00%"/>
    <numFmt numFmtId="172" formatCode="#,##0"/>
  </numFmts>
  <fonts count="5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color rgb="FF0000FF"/>
      <name val="Arial"/>
      <family val="0"/>
      <charset val="1"/>
    </font>
    <font>
      <i val="true"/>
      <sz val="9"/>
      <color rgb="FF888888"/>
      <name val="Arial"/>
      <family val="0"/>
      <charset val="1"/>
    </font>
    <font>
      <b val="true"/>
      <sz val="13"/>
      <color rgb="FFFFFFFF"/>
      <name val="Arial"/>
      <family val="0"/>
      <charset val="1"/>
    </font>
    <font>
      <i val="true"/>
      <sz val="9"/>
      <color rgb="FF444444"/>
      <name val="Arial"/>
      <family val="0"/>
      <charset val="1"/>
    </font>
    <font>
      <b val="true"/>
      <sz val="11"/>
      <color rgb="FF1F4E79"/>
      <name val="Arial"/>
      <family val="0"/>
      <charset val="1"/>
    </font>
    <font>
      <b val="true"/>
      <sz val="10"/>
      <color rgb="FF1A1A1A"/>
      <name val="Arial"/>
      <family val="0"/>
      <charset val="1"/>
    </font>
    <font>
      <sz val="10"/>
      <color rgb="FF444444"/>
      <name val="Arial"/>
      <family val="0"/>
      <charset val="1"/>
    </font>
    <font>
      <sz val="9"/>
      <color rgb="FF1A1A1A"/>
      <name val="Arial"/>
      <family val="0"/>
      <charset val="1"/>
    </font>
    <font>
      <i val="true"/>
      <sz val="9"/>
      <color rgb="FF333333"/>
      <name val="Arial"/>
      <family val="0"/>
      <charset val="1"/>
    </font>
    <font>
      <sz val="10"/>
      <color rgb="FF1A1A1A"/>
      <name val="Arial"/>
      <family val="0"/>
      <charset val="1"/>
    </font>
    <font>
      <sz val="10"/>
      <color rgb="FF1A7A4A"/>
      <name val="Arial"/>
      <family val="0"/>
      <charset val="1"/>
    </font>
    <font>
      <sz val="9"/>
      <color rgb="FF0000FF"/>
      <name val="Arial"/>
      <family val="0"/>
      <charset val="1"/>
    </font>
    <font>
      <sz val="10"/>
      <color rgb="FF666666"/>
      <name val="Arial"/>
      <family val="0"/>
      <charset val="1"/>
    </font>
    <font>
      <i val="true"/>
      <sz val="10"/>
      <color rgb="FFAAAAAA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1A7A4A"/>
      <name val="Arial"/>
      <family val="0"/>
      <charset val="1"/>
    </font>
    <font>
      <i val="true"/>
      <sz val="9"/>
      <color rgb="FFCC0000"/>
      <name val="Arial"/>
      <family val="0"/>
      <charset val="1"/>
    </font>
    <font>
      <b val="true"/>
      <sz val="10"/>
      <color rgb="FF1F4E79"/>
      <name val="Arial"/>
      <family val="0"/>
      <charset val="1"/>
    </font>
    <font>
      <sz val="10"/>
      <color rgb="FF008000"/>
      <name val="Arial"/>
      <family val="0"/>
      <charset val="1"/>
    </font>
    <font>
      <i val="true"/>
      <sz val="9"/>
      <color rgb="FF008000"/>
      <name val="Arial"/>
      <family val="0"/>
      <charset val="1"/>
    </font>
    <font>
      <b val="true"/>
      <i val="true"/>
      <sz val="13"/>
      <color rgb="FFFFFFFF"/>
      <name val="Arial"/>
      <family val="0"/>
      <charset val="1"/>
    </font>
    <font>
      <sz val="11"/>
      <color rgb="FFFFFFFF"/>
      <name val="Calibri"/>
      <family val="2"/>
      <charset val="1"/>
    </font>
    <font>
      <i val="true"/>
      <sz val="9"/>
      <color theme="1"/>
      <name val="Arial"/>
      <family val="0"/>
      <charset val="1"/>
    </font>
    <font>
      <b val="true"/>
      <sz val="10"/>
      <color rgb="FFFFFFFF"/>
      <name val="Arial"/>
      <family val="2"/>
      <charset val="1"/>
    </font>
    <font>
      <b val="true"/>
      <sz val="10"/>
      <color theme="1"/>
      <name val="Arial"/>
      <family val="2"/>
      <charset val="1"/>
    </font>
    <font>
      <sz val="10"/>
      <color theme="1"/>
      <name val="Arial"/>
      <family val="2"/>
      <charset val="1"/>
    </font>
    <font>
      <i val="true"/>
      <sz val="11"/>
      <color theme="1"/>
      <name val="Calibri"/>
      <family val="2"/>
      <charset val="1"/>
    </font>
    <font>
      <b val="true"/>
      <sz val="11"/>
      <color theme="1"/>
      <name val="Calibri"/>
      <family val="2"/>
      <charset val="1"/>
    </font>
    <font>
      <b val="true"/>
      <sz val="9"/>
      <color rgb="FF333333"/>
      <name val="Arial"/>
      <family val="0"/>
      <charset val="1"/>
    </font>
    <font>
      <b val="true"/>
      <i val="true"/>
      <sz val="10"/>
      <color rgb="FFFFFFFF"/>
      <name val="Arial"/>
      <family val="0"/>
      <charset val="1"/>
    </font>
    <font>
      <sz val="13"/>
      <color rgb="FF000000"/>
      <name val="Arial"/>
      <family val="2"/>
    </font>
    <font>
      <sz val="10"/>
      <color rgb="FF000000"/>
      <name val="Arial"/>
      <family val="2"/>
    </font>
    <font>
      <sz val="9"/>
      <color rgb="FF000000"/>
      <name val="Arial"/>
      <family val="2"/>
    </font>
    <font>
      <sz val="10"/>
      <color rgb="FF000000"/>
      <name val="Arial"/>
      <family val="0"/>
      <charset val="1"/>
    </font>
    <font>
      <sz val="11"/>
      <color rgb="FF00A933"/>
      <name val="Calibri"/>
      <family val="2"/>
      <charset val="1"/>
    </font>
    <font>
      <b val="true"/>
      <sz val="10"/>
      <color rgb="FF000000"/>
      <name val="Arial"/>
      <family val="0"/>
      <charset val="1"/>
    </font>
    <font>
      <b val="true"/>
      <sz val="11"/>
      <color rgb="FF00A933"/>
      <name val="Calibri"/>
      <family val="2"/>
      <charset val="1"/>
    </font>
    <font>
      <b val="true"/>
      <sz val="11"/>
      <color rgb="FFFFFFFF"/>
      <name val="Calibri"/>
      <family val="2"/>
      <charset val="1"/>
    </font>
    <font>
      <sz val="10"/>
      <color rgb="FF00A933"/>
      <name val="Arial"/>
      <family val="0"/>
      <charset val="1"/>
    </font>
    <font>
      <b val="true"/>
      <sz val="10"/>
      <color rgb="FF00A933"/>
      <name val="Arial"/>
      <family val="0"/>
      <charset val="1"/>
    </font>
    <font>
      <i val="true"/>
      <sz val="11"/>
      <color rgb="FFAAAAAA"/>
      <name val="Arial"/>
      <family val="0"/>
      <charset val="1"/>
    </font>
    <font>
      <b val="true"/>
      <sz val="13"/>
      <color rgb="FF1F4E79"/>
      <name val="Arial"/>
      <family val="0"/>
      <charset val="1"/>
    </font>
    <font>
      <b val="true"/>
      <sz val="10"/>
      <color rgb="FFCC0000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i val="true"/>
      <sz val="10"/>
      <color rgb="FFCC0000"/>
      <name val="Arial"/>
      <family val="0"/>
      <charset val="1"/>
    </font>
  </fonts>
  <fills count="16">
    <fill>
      <patternFill patternType="none"/>
    </fill>
    <fill>
      <patternFill patternType="gray125"/>
    </fill>
    <fill>
      <patternFill patternType="solid">
        <fgColor rgb="FFAFD095"/>
        <bgColor rgb="FFCCCCCC"/>
      </patternFill>
    </fill>
    <fill>
      <patternFill patternType="solid">
        <fgColor rgb="FFFFD7D7"/>
        <bgColor rgb="FFFFF2CC"/>
      </patternFill>
    </fill>
    <fill>
      <patternFill patternType="solid">
        <fgColor rgb="FFDDE8CB"/>
        <bgColor rgb="FFE2EFDA"/>
      </patternFill>
    </fill>
    <fill>
      <patternFill patternType="solid">
        <fgColor rgb="FF1F4E79"/>
        <bgColor rgb="FF2A6099"/>
      </patternFill>
    </fill>
    <fill>
      <patternFill patternType="solid">
        <fgColor rgb="FFF2F2F2"/>
        <bgColor rgb="FFE2EFDA"/>
      </patternFill>
    </fill>
    <fill>
      <patternFill patternType="solid">
        <fgColor rgb="FF2E75B6"/>
        <bgColor rgb="FF2A6099"/>
      </patternFill>
    </fill>
    <fill>
      <patternFill patternType="solid">
        <fgColor rgb="FFD6E4F0"/>
        <bgColor rgb="FFE2EFDA"/>
      </patternFill>
    </fill>
    <fill>
      <patternFill patternType="solid">
        <fgColor rgb="FFFFF2CC"/>
        <bgColor rgb="FFF2F2F2"/>
      </patternFill>
    </fill>
    <fill>
      <patternFill patternType="solid">
        <fgColor rgb="FFE2EFDA"/>
        <bgColor rgb="FFDDE8CB"/>
      </patternFill>
    </fill>
    <fill>
      <patternFill patternType="solid">
        <fgColor rgb="FFFFFFFF"/>
        <bgColor rgb="FFF2F2F2"/>
      </patternFill>
    </fill>
    <fill>
      <patternFill patternType="solid">
        <fgColor rgb="FF2A6099"/>
        <bgColor rgb="FF1F4E79"/>
      </patternFill>
    </fill>
    <fill>
      <patternFill patternType="solid">
        <fgColor rgb="FFC8D5E4"/>
        <bgColor rgb="FFCCCCCC"/>
      </patternFill>
    </fill>
    <fill>
      <patternFill patternType="solid">
        <fgColor rgb="FFC45C00"/>
        <bgColor rgb="FFFF420E"/>
      </patternFill>
    </fill>
    <fill>
      <patternFill patternType="solid">
        <fgColor rgb="FF1A7A4A"/>
        <bgColor rgb="FF00808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5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2" borderId="0" applyFont="true" applyBorder="false" applyAlignment="true" applyProtection="false">
      <alignment horizontal="general" vertical="bottom" textRotation="0" wrapText="false" indent="0" shrinkToFit="false"/>
    </xf>
    <xf numFmtId="164" fontId="0" fillId="3" borderId="0" applyFont="true" applyBorder="false" applyAlignment="true" applyProtection="false">
      <alignment horizontal="general" vertical="bottom" textRotation="0" wrapText="false" indent="0" shrinkToFit="false"/>
    </xf>
    <xf numFmtId="164" fontId="0" fillId="4" borderId="0" applyFont="true" applyBorder="false" applyAlignment="true" applyProtection="false">
      <alignment horizontal="general" vertical="bottom" textRotation="0" wrapText="false" indent="0" shrinkToFit="false"/>
    </xf>
    <xf numFmtId="164" fontId="0" fillId="2" borderId="0" applyFont="true" applyBorder="false" applyAlignment="true" applyProtection="false">
      <alignment horizontal="general" vertical="bottom" textRotation="0" wrapText="false" indent="0" shrinkToFit="false"/>
    </xf>
    <xf numFmtId="164" fontId="0" fillId="3" borderId="0" applyFont="true" applyBorder="false" applyAlignment="true" applyProtection="false">
      <alignment horizontal="general" vertical="bottom" textRotation="0" wrapText="false" indent="0" shrinkToFit="false"/>
    </xf>
  </cellStyleXfs>
  <cellXfs count="1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4" fillId="5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5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6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5" fillId="6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7" fillId="5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8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7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9" fillId="8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0" fillId="8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10" fillId="8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1" fillId="8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2" fillId="8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3" fillId="8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4" fillId="9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15" fillId="1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11" fillId="9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6" fillId="9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3" fillId="9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4" fillId="6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17" fillId="6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11" fillId="6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3" fillId="6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8" fillId="6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9" fillId="7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20" fillId="11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0" fillId="11" borderId="1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21" fillId="11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0" fillId="11" borderId="1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0" fillId="6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0" fillId="6" borderId="1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5" borderId="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22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3" fillId="8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9" fillId="7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9" fillId="7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9" fillId="5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9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14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9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6" fontId="5" fillId="9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14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9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3" fillId="1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9" fillId="7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4" fontId="20" fillId="1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4" fillId="1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24" fillId="1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4" fillId="1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6" fillId="12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27" fillId="12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27" fillId="1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8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29" fillId="12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30" fillId="13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0" fillId="13" borderId="0" xfId="0" applyFont="fals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0" fillId="13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31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9" fontId="0" fillId="0" borderId="0" xfId="0" applyFont="false" applyBorder="false" applyAlignment="true" applyProtection="true">
      <alignment horizontal="center" vertical="center" textRotation="0" wrapText="false" indent="0" shrinkToFit="false"/>
      <protection locked="true" hidden="false"/>
    </xf>
    <xf numFmtId="170" fontId="0" fillId="0" borderId="0" xfId="0" applyFont="fals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32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9" fontId="33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70" fontId="33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6" fontId="14" fillId="11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3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0" fillId="8" borderId="1" xfId="0" applyFont="true" applyBorder="true" applyAlignment="true" applyProtection="true">
      <alignment horizontal="left" vertical="bottom" textRotation="0" wrapText="false" indent="1" shrinkToFit="false"/>
      <protection locked="true" hidden="false"/>
    </xf>
    <xf numFmtId="164" fontId="34" fillId="8" borderId="1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0" fillId="11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35" fillId="12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13" fillId="6" borderId="1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71" fontId="0" fillId="0" borderId="0" xfId="0" applyFont="fals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8" fillId="6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33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19" fillId="1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9" fillId="15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4" fillId="7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39" fillId="11" borderId="1" xfId="0" applyFont="true" applyBorder="true" applyAlignment="true" applyProtection="true">
      <alignment horizontal="left" vertical="bottom" textRotation="0" wrapText="false" indent="1" shrinkToFit="false"/>
      <protection locked="true" hidden="false"/>
    </xf>
    <xf numFmtId="166" fontId="24" fillId="11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2" fontId="0" fillId="11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4" fillId="11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0" fillId="11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1" fillId="8" borderId="1" xfId="0" applyFont="true" applyBorder="true" applyAlignment="true" applyProtection="true">
      <alignment horizontal="left" vertical="bottom" textRotation="0" wrapText="false" indent="1" shrinkToFit="false"/>
      <protection locked="true" hidden="false"/>
    </xf>
    <xf numFmtId="166" fontId="42" fillId="8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3" fillId="8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1" fontId="33" fillId="8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0" fillId="11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11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0" fillId="8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2" fontId="33" fillId="11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" fillId="11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5" borderId="1" xfId="0" applyFont="true" applyBorder="true" applyAlignment="true" applyProtection="true">
      <alignment horizontal="left" vertical="bottom" textRotation="0" wrapText="false" indent="1" shrinkToFit="false"/>
      <protection locked="true" hidden="false"/>
    </xf>
    <xf numFmtId="166" fontId="43" fillId="5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1" fontId="43" fillId="5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4" fillId="11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2" fontId="33" fillId="8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4" fillId="6" borderId="1" xfId="0" applyFont="true" applyBorder="true" applyAlignment="true" applyProtection="true">
      <alignment horizontal="left" vertical="bottom" textRotation="0" wrapText="false" indent="1" shrinkToFit="false"/>
      <protection locked="true" hidden="false"/>
    </xf>
    <xf numFmtId="166" fontId="44" fillId="6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5" fillId="8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6" fillId="6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3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3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9" fillId="5" borderId="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4" fillId="7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3" fillId="8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</cellXfs>
  <cellStyles count="11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Sem nome1" xfId="20"/>
    <cellStyle name="Sem nome2" xfId="21"/>
    <cellStyle name="Sem nome3" xfId="22"/>
    <cellStyle name="Sem nome4" xfId="23"/>
    <cellStyle name="Sem nome5" xfId="24"/>
  </cellStyles>
  <dxfs count="3">
    <dxf>
      <font>
        <name val="Calibri"/>
        <charset val="1"/>
        <family val="2"/>
        <color rgb="FF000000"/>
        <sz val="11"/>
      </font>
      <fill>
        <patternFill>
          <bgColor rgb="FFAFD095"/>
        </patternFill>
      </fill>
    </dxf>
    <dxf>
      <font>
        <name val="Calibri"/>
        <charset val="1"/>
        <family val="2"/>
        <color rgb="FF000000"/>
        <sz val="11"/>
      </font>
      <fill>
        <patternFill>
          <bgColor rgb="FFFFD7D7"/>
        </patternFill>
      </fill>
    </dxf>
    <dxf>
      <font>
        <name val="Calibri"/>
        <charset val="1"/>
        <family val="2"/>
        <color rgb="FF000000"/>
        <sz val="11"/>
      </font>
      <fill>
        <patternFill>
          <bgColor rgb="FFDDE8CB"/>
        </patternFill>
      </fill>
    </dxf>
  </dxfs>
  <colors>
    <indexedColors>
      <rgbColor rgb="FF000000"/>
      <rgbColor rgb="FFFFFFFF"/>
      <rgbColor rgb="FFCC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A7A4A"/>
      <rgbColor rgb="FFCCCCCC"/>
      <rgbColor rgb="FF888888"/>
      <rgbColor rgb="FF9999FF"/>
      <rgbColor rgb="FF993366"/>
      <rgbColor rgb="FFFFF2CC"/>
      <rgbColor rgb="FFD6E4F0"/>
      <rgbColor rgb="FF660066"/>
      <rgbColor rgb="FFFF8080"/>
      <rgbColor rgb="FF2A6099"/>
      <rgbColor rgb="FFC8D5E4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E2EFDA"/>
      <rgbColor rgb="FFDDE8CB"/>
      <rgbColor rgb="FFB3B3B3"/>
      <rgbColor rgb="FFFF99CC"/>
      <rgbColor rgb="FFCC99FF"/>
      <rgbColor rgb="FFFFD7D7"/>
      <rgbColor rgb="FF2E75B6"/>
      <rgbColor rgb="FF33CCCC"/>
      <rgbColor rgb="FFAFD095"/>
      <rgbColor rgb="FFFFCC00"/>
      <rgbColor rgb="FFFF9900"/>
      <rgbColor rgb="FFFF420E"/>
      <rgbColor rgb="FF666666"/>
      <rgbColor rgb="FFAAAAAA"/>
      <rgbColor rgb="FF004586"/>
      <rgbColor rgb="FF00A933"/>
      <rgbColor rgb="FF444444"/>
      <rgbColor rgb="FF1A1A1A"/>
      <rgbColor rgb="FFC45C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charts/_rels/chart1.xml.rels><?xml version="1.0" encoding="UTF-8"?>
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
</Relationships>
</file>

<file path=xl/charts/_rels/chart2.xml.rels><?xml version="1.0" encoding="UTF-8"?>
<Relationships xmlns="http://schemas.openxmlformats.org/package/2006/relationships"><Relationship Id="rId1" Type="http://schemas.microsoft.com/office/2011/relationships/chartStyle" Target="style2.xml"/><Relationship Id="rId2" Type="http://schemas.microsoft.com/office/2011/relationships/chartColorStyle" Target="colors2.xml"/>
</Relationships>
</file>

<file path=xl/charts/_rels/chart3.xml.rels><?xml version="1.0" encoding="UTF-8"?>
<Relationships xmlns="http://schemas.openxmlformats.org/package/2006/relationships"><Relationship Id="rId1" Type="http://schemas.microsoft.com/office/2011/relationships/chartStyle" Target="style3.xml"/><Relationship Id="rId2" Type="http://schemas.microsoft.com/office/2011/relationships/chartColorStyle" Target="colors3.xml"/>
</Relationships>
</file>

<file path=xl/charts/_rels/chart4.xml.rels><?xml version="1.0" encoding="UTF-8"?>
<Relationships xmlns="http://schemas.openxmlformats.org/package/2006/relationships"><Relationship Id="rId1" Type="http://schemas.microsoft.com/office/2011/relationships/chartStyle" Target="style4.xml"/><Relationship Id="rId2" Type="http://schemas.microsoft.com/office/2011/relationships/chartColorStyle" Target="colors4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300" b="0" u="none" strike="noStrike">
                <a:solidFill>
                  <a:srgbClr val="000000"/>
                </a:solidFill>
                <a:uFillTx/>
                <a:latin typeface="Arial"/>
              </a:rPr>
              <a:t>Budget vs Actual Revenue — Monthly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Variance!$B$22</c:f>
              <c:strCache>
                <c:ptCount val="1"/>
                <c:pt idx="0">
                  <c:v>Actual Revenue 2024</c:v>
                </c:pt>
              </c:strCache>
            </c:strRef>
          </c:tx>
          <c:spPr>
            <a:solidFill>
              <a:srgbClr val="00458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Variance!$A$23:$A$34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Variance!$B$23:$B$34</c:f>
              <c:numCache>
                <c:formatCode>General</c:formatCode>
                <c:ptCount val="12"/>
                <c:pt idx="0">
                  <c:v>171400</c:v>
                </c:pt>
                <c:pt idx="1">
                  <c:v>182000</c:v>
                </c:pt>
                <c:pt idx="2">
                  <c:v>203200</c:v>
                </c:pt>
                <c:pt idx="3">
                  <c:v>235000</c:v>
                </c:pt>
                <c:pt idx="4">
                  <c:v>245600</c:v>
                </c:pt>
                <c:pt idx="5">
                  <c:v>245600</c:v>
                </c:pt>
                <c:pt idx="6">
                  <c:v>245600</c:v>
                </c:pt>
                <c:pt idx="7">
                  <c:v>235000</c:v>
                </c:pt>
                <c:pt idx="8">
                  <c:v>224400</c:v>
                </c:pt>
                <c:pt idx="9">
                  <c:v>224400</c:v>
                </c:pt>
                <c:pt idx="10">
                  <c:v>213800</c:v>
                </c:pt>
                <c:pt idx="11">
                  <c:v>213800</c:v>
                </c:pt>
              </c:numCache>
            </c:numRef>
          </c:val>
        </c:ser>
        <c:ser>
          <c:idx val="1"/>
          <c:order val="1"/>
          <c:tx>
            <c:strRef>
              <c:f>Variance!$C$22</c:f>
              <c:strCache>
                <c:ptCount val="1"/>
                <c:pt idx="0">
                  <c:v>Budget Revenue 2025</c:v>
                </c:pt>
              </c:strCache>
            </c:strRef>
          </c:tx>
          <c:spPr>
            <a:solidFill>
              <a:srgbClr val="FF420E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Variance!$A$23:$A$34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Variance!$C$23:$C$34</c:f>
              <c:numCache>
                <c:formatCode>General</c:formatCode>
                <c:ptCount val="12"/>
                <c:pt idx="0">
                  <c:v>187500</c:v>
                </c:pt>
                <c:pt idx="1">
                  <c:v>199100</c:v>
                </c:pt>
                <c:pt idx="2">
                  <c:v>222300</c:v>
                </c:pt>
                <c:pt idx="3">
                  <c:v>257100</c:v>
                </c:pt>
                <c:pt idx="4">
                  <c:v>268700</c:v>
                </c:pt>
                <c:pt idx="5">
                  <c:v>268700</c:v>
                </c:pt>
                <c:pt idx="6">
                  <c:v>268700</c:v>
                </c:pt>
                <c:pt idx="7">
                  <c:v>257100</c:v>
                </c:pt>
                <c:pt idx="8">
                  <c:v>245500</c:v>
                </c:pt>
                <c:pt idx="9">
                  <c:v>245500</c:v>
                </c:pt>
                <c:pt idx="10">
                  <c:v>233900</c:v>
                </c:pt>
                <c:pt idx="11">
                  <c:v>233900</c:v>
                </c:pt>
              </c:numCache>
            </c:numRef>
          </c:val>
        </c:ser>
        <c:gapWidth val="100"/>
        <c:overlap val="0"/>
        <c:axId val="30129024"/>
        <c:axId val="63221403"/>
      </c:barChart>
      <c:catAx>
        <c:axId val="30129024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900" b="0" u="none" strike="noStrike">
                    <a:solidFill>
                      <a:srgbClr val="000000"/>
                    </a:solidFill>
                    <a:uFillTx/>
                    <a:latin typeface="Arial"/>
                  </a:rPr>
                  <a:t>month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Arial"/>
              </a:defRPr>
            </a:pPr>
          </a:p>
        </c:txPr>
        <c:crossAx val="63221403"/>
        <c:crosses val="autoZero"/>
        <c:auto val="1"/>
        <c:lblAlgn val="ctr"/>
        <c:lblOffset val="100"/>
        <c:noMultiLvlLbl val="0"/>
      </c:catAx>
      <c:valAx>
        <c:axId val="63221403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900" b="0" u="none" strike="noStrike">
                    <a:solidFill>
                      <a:srgbClr val="000000"/>
                    </a:solidFill>
                    <a:uFillTx/>
                    <a:latin typeface="Arial"/>
                  </a:rPr>
                  <a:t>Revenue €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Arial"/>
              </a:defRPr>
            </a:pPr>
          </a:p>
        </c:txPr>
        <c:crossAx val="30129024"/>
        <c:crosses val="autoZero"/>
        <c:crossBetween val="between"/>
      </c:valAx>
      <c:spPr>
        <a:noFill/>
        <a:ln w="0">
          <a:solidFill>
            <a:srgbClr val="B3B3B3"/>
          </a:solidFill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0">
      <a:noFill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300" b="0" u="none" strike="noStrike">
                <a:solidFill>
                  <a:srgbClr val="000000"/>
                </a:solidFill>
                <a:uFillTx/>
                <a:latin typeface="Arial"/>
              </a:rPr>
              <a:t>Revenue Variance by month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Variance!$D$22</c:f>
              <c:strCache>
                <c:ptCount val="1"/>
                <c:pt idx="0">
                  <c:v>Variance €</c:v>
                </c:pt>
              </c:strCache>
            </c:strRef>
          </c:tx>
          <c:spPr>
            <a:solidFill>
              <a:srgbClr val="004586"/>
            </a:solidFill>
            <a:ln w="28800">
              <a:solidFill>
                <a:srgbClr val="004586"/>
              </a:solidFill>
              <a:round/>
            </a:ln>
          </c:spPr>
          <c:marker>
            <c:symbol val="square"/>
            <c:size val="8"/>
            <c:spPr>
              <a:solidFill>
                <a:srgbClr val="004586"/>
              </a:solidFill>
            </c:spPr>
          </c:marker>
          <c:dLbls>
            <c:txPr>
              <a:bodyPr wrap="non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8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Variance!$A$23:$A$34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Variance!$D$23:$D$34</c:f>
              <c:numCache>
                <c:formatCode>General</c:formatCode>
                <c:ptCount val="12"/>
                <c:pt idx="0">
                  <c:v>16100</c:v>
                </c:pt>
                <c:pt idx="1">
                  <c:v>17100</c:v>
                </c:pt>
                <c:pt idx="2">
                  <c:v>19100</c:v>
                </c:pt>
                <c:pt idx="3">
                  <c:v>22100</c:v>
                </c:pt>
                <c:pt idx="4">
                  <c:v>23100</c:v>
                </c:pt>
                <c:pt idx="5">
                  <c:v>23100</c:v>
                </c:pt>
                <c:pt idx="6">
                  <c:v>23100</c:v>
                </c:pt>
                <c:pt idx="7">
                  <c:v>22100</c:v>
                </c:pt>
                <c:pt idx="8">
                  <c:v>21100</c:v>
                </c:pt>
                <c:pt idx="9">
                  <c:v>21100</c:v>
                </c:pt>
                <c:pt idx="10">
                  <c:v>20100</c:v>
                </c:pt>
                <c:pt idx="11">
                  <c:v>20100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77139834"/>
        <c:axId val="16986299"/>
      </c:lineChart>
      <c:catAx>
        <c:axId val="77139834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900" b="0" u="none" strike="noStrike">
                    <a:solidFill>
                      <a:srgbClr val="000000"/>
                    </a:solidFill>
                    <a:uFillTx/>
                    <a:latin typeface="Arial"/>
                  </a:rPr>
                  <a:t>month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Arial"/>
              </a:defRPr>
            </a:pPr>
          </a:p>
        </c:txPr>
        <c:crossAx val="16986299"/>
        <c:crosses val="autoZero"/>
        <c:auto val="1"/>
        <c:lblAlgn val="ctr"/>
        <c:lblOffset val="100"/>
        <c:noMultiLvlLbl val="0"/>
      </c:catAx>
      <c:valAx>
        <c:axId val="16986299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900" b="0" u="none" strike="noStrike">
                    <a:solidFill>
                      <a:srgbClr val="000000"/>
                    </a:solidFill>
                    <a:uFillTx/>
                    <a:latin typeface="Arial"/>
                  </a:rPr>
                  <a:t>Variance €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Arial"/>
              </a:defRPr>
            </a:pPr>
          </a:p>
        </c:txPr>
        <c:crossAx val="77139834"/>
        <c:crosses val="autoZero"/>
        <c:crossBetween val="midCat"/>
      </c:valAx>
      <c:spPr>
        <a:noFill/>
        <a:ln w="0">
          <a:solidFill>
            <a:srgbClr val="B3B3B3"/>
          </a:solidFill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0">
      <a:noFill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300" b="0" u="none" strike="noStrike">
                <a:solidFill>
                  <a:srgbClr val="000000"/>
                </a:solidFill>
                <a:uFillTx/>
                <a:latin typeface="Arial"/>
              </a:rPr>
              <a:t>monthly Cost actuals vs budget 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Variance!$B$36</c:f>
              <c:strCache>
                <c:ptCount val="1"/>
                <c:pt idx="0">
                  <c:v>Actual Cost 2024</c:v>
                </c:pt>
              </c:strCache>
            </c:strRef>
          </c:tx>
          <c:spPr>
            <a:solidFill>
              <a:srgbClr val="00458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Variance!$A$37:$A$48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Variance!$B$37:$B$48</c:f>
              <c:numCache>
                <c:formatCode>General</c:formatCode>
                <c:ptCount val="12"/>
                <c:pt idx="0">
                  <c:v>122500</c:v>
                </c:pt>
                <c:pt idx="1">
                  <c:v>132700</c:v>
                </c:pt>
                <c:pt idx="2">
                  <c:v>153100</c:v>
                </c:pt>
                <c:pt idx="3">
                  <c:v>183600</c:v>
                </c:pt>
                <c:pt idx="4">
                  <c:v>193800</c:v>
                </c:pt>
                <c:pt idx="5">
                  <c:v>193800</c:v>
                </c:pt>
                <c:pt idx="6">
                  <c:v>193800</c:v>
                </c:pt>
                <c:pt idx="7">
                  <c:v>183600</c:v>
                </c:pt>
                <c:pt idx="8">
                  <c:v>173400</c:v>
                </c:pt>
                <c:pt idx="9">
                  <c:v>173400</c:v>
                </c:pt>
                <c:pt idx="10">
                  <c:v>163300</c:v>
                </c:pt>
                <c:pt idx="11">
                  <c:v>163300</c:v>
                </c:pt>
              </c:numCache>
            </c:numRef>
          </c:val>
        </c:ser>
        <c:ser>
          <c:idx val="1"/>
          <c:order val="1"/>
          <c:tx>
            <c:strRef>
              <c:f>Variance!$C$36</c:f>
              <c:strCache>
                <c:ptCount val="1"/>
                <c:pt idx="0">
                  <c:v>Budget Cost 2025</c:v>
                </c:pt>
              </c:strCache>
            </c:strRef>
          </c:tx>
          <c:spPr>
            <a:solidFill>
              <a:srgbClr val="FF420E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Variance!$A$37:$A$48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Variance!$C$37:$C$48</c:f>
              <c:numCache>
                <c:formatCode>General</c:formatCode>
                <c:ptCount val="12"/>
                <c:pt idx="0">
                  <c:v>134000</c:v>
                </c:pt>
                <c:pt idx="1">
                  <c:v>145100</c:v>
                </c:pt>
                <c:pt idx="2">
                  <c:v>167500</c:v>
                </c:pt>
                <c:pt idx="3">
                  <c:v>200900</c:v>
                </c:pt>
                <c:pt idx="4">
                  <c:v>212100</c:v>
                </c:pt>
                <c:pt idx="5">
                  <c:v>212100</c:v>
                </c:pt>
                <c:pt idx="6">
                  <c:v>212100</c:v>
                </c:pt>
                <c:pt idx="7">
                  <c:v>200900</c:v>
                </c:pt>
                <c:pt idx="8">
                  <c:v>189800</c:v>
                </c:pt>
                <c:pt idx="9">
                  <c:v>189800</c:v>
                </c:pt>
                <c:pt idx="10">
                  <c:v>178700</c:v>
                </c:pt>
                <c:pt idx="11">
                  <c:v>178700</c:v>
                </c:pt>
              </c:numCache>
            </c:numRef>
          </c:val>
        </c:ser>
        <c:gapWidth val="100"/>
        <c:overlap val="0"/>
        <c:axId val="7819836"/>
        <c:axId val="38782246"/>
      </c:barChart>
      <c:catAx>
        <c:axId val="7819836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900" b="0" u="none" strike="noStrike">
                    <a:solidFill>
                      <a:srgbClr val="000000"/>
                    </a:solidFill>
                    <a:uFillTx/>
                    <a:latin typeface="Arial"/>
                  </a:rPr>
                  <a:t>month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Arial"/>
              </a:defRPr>
            </a:pPr>
          </a:p>
        </c:txPr>
        <c:crossAx val="38782246"/>
        <c:crosses val="autoZero"/>
        <c:auto val="1"/>
        <c:lblAlgn val="ctr"/>
        <c:lblOffset val="100"/>
        <c:noMultiLvlLbl val="0"/>
      </c:catAx>
      <c:valAx>
        <c:axId val="38782246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900" b="0" u="none" strike="noStrike">
                    <a:solidFill>
                      <a:srgbClr val="000000"/>
                    </a:solidFill>
                    <a:uFillTx/>
                    <a:latin typeface="Arial"/>
                  </a:rPr>
                  <a:t>cost (€)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Arial"/>
              </a:defRPr>
            </a:pPr>
          </a:p>
        </c:txPr>
        <c:crossAx val="7819836"/>
        <c:crosses val="autoZero"/>
        <c:crossBetween val="between"/>
      </c:valAx>
      <c:spPr>
        <a:noFill/>
        <a:ln w="0">
          <a:solidFill>
            <a:srgbClr val="B3B3B3"/>
          </a:solidFill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0">
      <a:noFill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300" b="0" u="none" strike="noStrike">
                <a:solidFill>
                  <a:srgbClr val="000000"/>
                </a:solidFill>
                <a:uFillTx/>
                <a:latin typeface="Arial"/>
              </a:rPr>
              <a:t>Monthly cost variance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608827396947"/>
          <c:y val="0.167039446929646"/>
          <c:w val="0.688182493853982"/>
          <c:h val="0.539345262301749"/>
        </c:manualLayout>
      </c:layout>
      <c:lineChart>
        <c:grouping val="standard"/>
        <c:varyColors val="0"/>
        <c:ser>
          <c:idx val="0"/>
          <c:order val="0"/>
          <c:tx>
            <c:strRef>
              <c:f>Variance!$D$36</c:f>
              <c:strCache>
                <c:ptCount val="1"/>
                <c:pt idx="0">
                  <c:v>Variance €</c:v>
                </c:pt>
              </c:strCache>
            </c:strRef>
          </c:tx>
          <c:spPr>
            <a:solidFill>
              <a:srgbClr val="004586"/>
            </a:solidFill>
            <a:ln w="28800">
              <a:solidFill>
                <a:srgbClr val="004586"/>
              </a:solidFill>
              <a:round/>
            </a:ln>
          </c:spPr>
          <c:marker>
            <c:symbol val="square"/>
            <c:size val="8"/>
            <c:spPr>
              <a:solidFill>
                <a:srgbClr val="004586"/>
              </a:solidFill>
            </c:spPr>
          </c:marker>
          <c:dLbls>
            <c:txPr>
              <a:bodyPr wrap="non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8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Variance!$A$36:$A$48</c:f>
              <c:strCache>
                <c:ptCount val="13"/>
                <c:pt idx="0">
                  <c:v>Month</c:v>
                </c:pt>
                <c:pt idx="1">
                  <c:v>jan</c:v>
                </c:pt>
                <c:pt idx="2">
                  <c:v>fev</c:v>
                </c:pt>
                <c:pt idx="3">
                  <c:v>mar</c:v>
                </c:pt>
                <c:pt idx="4">
                  <c:v>abr</c:v>
                </c:pt>
                <c:pt idx="5">
                  <c:v>mai</c:v>
                </c:pt>
                <c:pt idx="6">
                  <c:v>jun</c:v>
                </c:pt>
                <c:pt idx="7">
                  <c:v>jul</c:v>
                </c:pt>
                <c:pt idx="8">
                  <c:v>ago</c:v>
                </c:pt>
                <c:pt idx="9">
                  <c:v>set</c:v>
                </c:pt>
                <c:pt idx="10">
                  <c:v>out</c:v>
                </c:pt>
                <c:pt idx="11">
                  <c:v>nov</c:v>
                </c:pt>
                <c:pt idx="12">
                  <c:v>dez</c:v>
                </c:pt>
              </c:strCache>
            </c:strRef>
          </c:cat>
          <c:val>
            <c:numRef>
              <c:f>Variance!$D$36:$D$48</c:f>
              <c:numCache>
                <c:formatCode>General</c:formatCode>
                <c:ptCount val="13"/>
                <c:pt idx="1">
                  <c:v>11500</c:v>
                </c:pt>
                <c:pt idx="2">
                  <c:v>12400</c:v>
                </c:pt>
                <c:pt idx="3">
                  <c:v>14400</c:v>
                </c:pt>
                <c:pt idx="4">
                  <c:v>17300</c:v>
                </c:pt>
                <c:pt idx="5">
                  <c:v>18300</c:v>
                </c:pt>
                <c:pt idx="6">
                  <c:v>18300</c:v>
                </c:pt>
                <c:pt idx="7">
                  <c:v>18300</c:v>
                </c:pt>
                <c:pt idx="8">
                  <c:v>17300</c:v>
                </c:pt>
                <c:pt idx="9">
                  <c:v>16400</c:v>
                </c:pt>
                <c:pt idx="10">
                  <c:v>16400</c:v>
                </c:pt>
                <c:pt idx="11">
                  <c:v>15400</c:v>
                </c:pt>
                <c:pt idx="12">
                  <c:v>15400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7972407"/>
        <c:axId val="19313832"/>
      </c:lineChart>
      <c:catAx>
        <c:axId val="7972407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900" b="0" u="none" strike="noStrike">
                    <a:solidFill>
                      <a:srgbClr val="000000"/>
                    </a:solidFill>
                    <a:uFillTx/>
                    <a:latin typeface="Arial"/>
                  </a:rPr>
                  <a:t>month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Arial"/>
              </a:defRPr>
            </a:pPr>
          </a:p>
        </c:txPr>
        <c:crossAx val="19313832"/>
        <c:crosses val="autoZero"/>
        <c:auto val="1"/>
        <c:lblAlgn val="ctr"/>
        <c:lblOffset val="100"/>
        <c:noMultiLvlLbl val="0"/>
      </c:catAx>
      <c:valAx>
        <c:axId val="19313832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900" b="0" u="none" strike="noStrike">
                    <a:solidFill>
                      <a:srgbClr val="000000"/>
                    </a:solidFill>
                    <a:uFillTx/>
                    <a:latin typeface="Arial"/>
                  </a:rPr>
                  <a:t>Cost €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Arial"/>
              </a:defRPr>
            </a:pPr>
          </a:p>
        </c:txPr>
        <c:crossAx val="7972407"/>
        <c:crosses val="autoZero"/>
        <c:crossBetween val="midCat"/>
      </c:valAx>
      <c:spPr>
        <a:noFill/>
        <a:ln w="0">
          <a:solidFill>
            <a:srgbClr val="B3B3B3"/>
          </a:solidFill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Arial"/>
            </a:defRPr>
          </a:pPr>
        </a:p>
      </c:txPr>
    </c:legend>
    <c:plotVisOnly val="1"/>
    <c:dispBlanksAs val="zero"/>
  </c:chart>
  <c:spPr>
    <a:solidFill>
      <a:srgbClr val="FFFFFF"/>
    </a:solidFill>
    <a:ln w="0">
      <a:noFill/>
    </a:ln>
  </c:sp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419">
  <cs:axisTitle>
    <cs:lnRef idx="0"/>
    <cs:lineWidthScale>1</cs:lineWidthScale>
    <cs:fillRef idx="0"/>
    <cs:effectRef idx="0"/>
    <cs:fontRef idx="minor"/>
    <a:defRPr sz="1800" b="0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2.xml><?xml version="1.0" encoding="utf-8"?>
<cs:chartStyle xmlns:cs="http://schemas.microsoft.com/office/drawing/2012/chartStyle" xmlns:a="http://schemas.openxmlformats.org/drawingml/2006/main" id="419">
  <cs:axisTitle>
    <cs:lnRef idx="0"/>
    <cs:lineWidthScale>1</cs:lineWidthScale>
    <cs:fillRef idx="0"/>
    <cs:effectRef idx="0"/>
    <cs:fontRef idx="minor"/>
    <a:defRPr sz="1800" b="0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3.xml><?xml version="1.0" encoding="utf-8"?>
<cs:chartStyle xmlns:cs="http://schemas.microsoft.com/office/drawing/2012/chartStyle" xmlns:a="http://schemas.openxmlformats.org/drawingml/2006/main" id="419">
  <cs:axisTitle>
    <cs:lnRef idx="0"/>
    <cs:lineWidthScale>1</cs:lineWidthScale>
    <cs:fillRef idx="0"/>
    <cs:effectRef idx="0"/>
    <cs:fontRef idx="minor"/>
    <a:defRPr sz="1800" b="0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4.xml><?xml version="1.0" encoding="utf-8"?>
<cs:chartStyle xmlns:cs="http://schemas.microsoft.com/office/drawing/2012/chartStyle" xmlns:a="http://schemas.openxmlformats.org/drawingml/2006/main" id="419">
  <cs:axisTitle>
    <cs:lnRef idx="0"/>
    <cs:lineWidthScale>1</cs:lineWidthScale>
    <cs:fillRef idx="0"/>
    <cs:effectRef idx="0"/>
    <cs:fontRef idx="minor"/>
    <a:defRPr sz="1800" b="0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667080</xdr:colOff>
      <xdr:row>21</xdr:row>
      <xdr:rowOff>142560</xdr:rowOff>
    </xdr:from>
    <xdr:to>
      <xdr:col>11</xdr:col>
      <xdr:colOff>373680</xdr:colOff>
      <xdr:row>41</xdr:row>
      <xdr:rowOff>133560</xdr:rowOff>
    </xdr:to>
    <xdr:graphicFrame>
      <xdr:nvGraphicFramePr>
        <xdr:cNvPr id="1" name=""/>
        <xdr:cNvGraphicFramePr/>
      </xdr:nvGraphicFramePr>
      <xdr:xfrm>
        <a:off x="3703680" y="6023160"/>
        <a:ext cx="6208920" cy="34963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12</xdr:col>
      <xdr:colOff>574200</xdr:colOff>
      <xdr:row>20</xdr:row>
      <xdr:rowOff>41040</xdr:rowOff>
    </xdr:from>
    <xdr:to>
      <xdr:col>16</xdr:col>
      <xdr:colOff>2455920</xdr:colOff>
      <xdr:row>38</xdr:row>
      <xdr:rowOff>122760</xdr:rowOff>
    </xdr:to>
    <xdr:graphicFrame>
      <xdr:nvGraphicFramePr>
        <xdr:cNvPr id="2" name=""/>
        <xdr:cNvGraphicFramePr/>
      </xdr:nvGraphicFramePr>
      <xdr:xfrm>
        <a:off x="10926000" y="5746680"/>
        <a:ext cx="5756400" cy="32364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4</xdr:col>
      <xdr:colOff>350640</xdr:colOff>
      <xdr:row>42</xdr:row>
      <xdr:rowOff>140400</xdr:rowOff>
    </xdr:from>
    <xdr:to>
      <xdr:col>11</xdr:col>
      <xdr:colOff>419040</xdr:colOff>
      <xdr:row>61</xdr:row>
      <xdr:rowOff>48240</xdr:rowOff>
    </xdr:to>
    <xdr:graphicFrame>
      <xdr:nvGraphicFramePr>
        <xdr:cNvPr id="3" name=""/>
        <xdr:cNvGraphicFramePr/>
      </xdr:nvGraphicFramePr>
      <xdr:xfrm>
        <a:off x="4200120" y="9701640"/>
        <a:ext cx="5757840" cy="32378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12</xdr:col>
      <xdr:colOff>190800</xdr:colOff>
      <xdr:row>42</xdr:row>
      <xdr:rowOff>7200</xdr:rowOff>
    </xdr:from>
    <xdr:to>
      <xdr:col>16</xdr:col>
      <xdr:colOff>2612520</xdr:colOff>
      <xdr:row>62</xdr:row>
      <xdr:rowOff>42480</xdr:rowOff>
    </xdr:to>
    <xdr:graphicFrame>
      <xdr:nvGraphicFramePr>
        <xdr:cNvPr id="4" name=""/>
        <xdr:cNvGraphicFramePr/>
      </xdr:nvGraphicFramePr>
      <xdr:xfrm rot="21579000">
        <a:off x="10542240" y="9568080"/>
        <a:ext cx="6296400" cy="35406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39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pane xSplit="0" ySplit="1" topLeftCell="A2" activePane="bottomLeft" state="frozen"/>
      <selection pane="topLeft" activeCell="A1" activeCellId="0" sqref="A1"/>
      <selection pane="bottomLeft" activeCell="G37" activeCellId="0" sqref="G37"/>
    </sheetView>
  </sheetViews>
  <sheetFormatPr defaultColWidth="8.54296875" defaultRowHeight="15" customHeight="false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2" width="8"/>
    <col collapsed="false" customWidth="true" hidden="false" outlineLevel="0" max="3" min="3" style="2" width="10"/>
    <col collapsed="false" customWidth="true" hidden="false" outlineLevel="0" max="4" min="4" style="2" width="20"/>
    <col collapsed="false" customWidth="true" hidden="false" outlineLevel="0" max="5" min="5" style="2" width="22"/>
    <col collapsed="false" customWidth="true" hidden="false" outlineLevel="0" max="7" min="6" style="2" width="18"/>
    <col collapsed="false" customWidth="true" hidden="false" outlineLevel="0" max="8" min="8" style="2" width="14"/>
    <col collapsed="false" customWidth="true" hidden="false" outlineLevel="0" max="9" min="9" style="2" width="22"/>
    <col collapsed="false" customWidth="true" hidden="false" outlineLevel="0" max="10" min="10" style="2" width="14"/>
    <col collapsed="false" customWidth="true" hidden="false" outlineLevel="0" max="11" min="11" style="2" width="22"/>
    <col collapsed="false" customWidth="true" hidden="false" outlineLevel="0" max="13" min="12" style="2" width="18"/>
  </cols>
  <sheetData>
    <row r="1" customFormat="false" ht="30" hidden="false" customHeight="true" outlineLevel="0" collapsed="false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</row>
    <row r="2" customFormat="false" ht="15" hidden="false" customHeight="false" outlineLevel="0" collapsed="false">
      <c r="A2" s="5" t="n">
        <v>2022</v>
      </c>
      <c r="B2" s="5" t="s">
        <v>13</v>
      </c>
      <c r="C2" s="5" t="n">
        <v>1</v>
      </c>
      <c r="D2" s="6" t="n">
        <v>100800</v>
      </c>
      <c r="E2" s="6" t="n">
        <v>35000</v>
      </c>
      <c r="F2" s="6" t="n">
        <v>81900</v>
      </c>
      <c r="G2" s="6" t="n">
        <v>10100</v>
      </c>
      <c r="H2" s="6" t="n">
        <v>5000</v>
      </c>
      <c r="I2" s="6" t="n">
        <v>139200</v>
      </c>
      <c r="J2" s="6" t="n">
        <v>48300</v>
      </c>
      <c r="K2" s="6" t="n">
        <v>113100</v>
      </c>
      <c r="L2" s="6" t="n">
        <v>13900</v>
      </c>
      <c r="M2" s="6" t="n">
        <v>7000</v>
      </c>
    </row>
    <row r="3" customFormat="false" ht="15" hidden="false" customHeight="false" outlineLevel="0" collapsed="false">
      <c r="A3" s="2" t="n">
        <v>2022</v>
      </c>
      <c r="B3" s="2" t="s">
        <v>14</v>
      </c>
      <c r="C3" s="2" t="n">
        <v>2</v>
      </c>
      <c r="D3" s="7" t="n">
        <v>109200</v>
      </c>
      <c r="E3" s="7" t="n">
        <v>35000</v>
      </c>
      <c r="F3" s="7" t="n">
        <v>88700</v>
      </c>
      <c r="G3" s="7" t="n">
        <v>10900</v>
      </c>
      <c r="H3" s="7" t="n">
        <v>5500</v>
      </c>
      <c r="I3" s="7" t="n">
        <v>150800</v>
      </c>
      <c r="J3" s="7" t="n">
        <v>48300</v>
      </c>
      <c r="K3" s="7" t="n">
        <v>122500</v>
      </c>
      <c r="L3" s="7" t="n">
        <v>15100</v>
      </c>
      <c r="M3" s="7" t="n">
        <v>7500</v>
      </c>
    </row>
    <row r="4" customFormat="false" ht="15" hidden="false" customHeight="false" outlineLevel="0" collapsed="false">
      <c r="A4" s="5" t="n">
        <v>2022</v>
      </c>
      <c r="B4" s="5" t="s">
        <v>15</v>
      </c>
      <c r="C4" s="5" t="n">
        <v>3</v>
      </c>
      <c r="D4" s="6" t="n">
        <v>126000</v>
      </c>
      <c r="E4" s="6" t="n">
        <v>35000</v>
      </c>
      <c r="F4" s="6" t="n">
        <v>102400</v>
      </c>
      <c r="G4" s="6" t="n">
        <v>12600</v>
      </c>
      <c r="H4" s="6" t="n">
        <v>6300</v>
      </c>
      <c r="I4" s="6" t="n">
        <v>174000</v>
      </c>
      <c r="J4" s="6" t="n">
        <v>48300</v>
      </c>
      <c r="K4" s="6" t="n">
        <v>141400</v>
      </c>
      <c r="L4" s="6" t="n">
        <v>17400</v>
      </c>
      <c r="M4" s="6" t="n">
        <v>8700</v>
      </c>
    </row>
    <row r="5" customFormat="false" ht="15" hidden="false" customHeight="false" outlineLevel="0" collapsed="false">
      <c r="A5" s="2" t="n">
        <v>2022</v>
      </c>
      <c r="B5" s="2" t="s">
        <v>16</v>
      </c>
      <c r="C5" s="2" t="n">
        <v>4</v>
      </c>
      <c r="D5" s="7" t="n">
        <v>151200</v>
      </c>
      <c r="E5" s="7" t="n">
        <v>35000</v>
      </c>
      <c r="F5" s="7" t="n">
        <v>122800</v>
      </c>
      <c r="G5" s="7" t="n">
        <v>15100</v>
      </c>
      <c r="H5" s="7" t="n">
        <v>7600</v>
      </c>
      <c r="I5" s="7" t="n">
        <v>208800</v>
      </c>
      <c r="J5" s="7" t="n">
        <v>48300</v>
      </c>
      <c r="K5" s="7" t="n">
        <v>169600</v>
      </c>
      <c r="L5" s="7" t="n">
        <v>20900</v>
      </c>
      <c r="M5" s="7" t="n">
        <v>10400</v>
      </c>
    </row>
    <row r="6" customFormat="false" ht="15" hidden="false" customHeight="false" outlineLevel="0" collapsed="false">
      <c r="A6" s="5" t="n">
        <v>2022</v>
      </c>
      <c r="B6" s="5" t="s">
        <v>17</v>
      </c>
      <c r="C6" s="5" t="n">
        <v>5</v>
      </c>
      <c r="D6" s="6" t="n">
        <v>159600</v>
      </c>
      <c r="E6" s="6" t="n">
        <v>35000</v>
      </c>
      <c r="F6" s="6" t="n">
        <v>129700</v>
      </c>
      <c r="G6" s="6" t="n">
        <v>16000</v>
      </c>
      <c r="H6" s="6" t="n">
        <v>8000</v>
      </c>
      <c r="I6" s="6" t="n">
        <v>220400</v>
      </c>
      <c r="J6" s="6" t="n">
        <v>48300</v>
      </c>
      <c r="K6" s="6" t="n">
        <v>179100</v>
      </c>
      <c r="L6" s="6" t="n">
        <v>22000</v>
      </c>
      <c r="M6" s="6" t="n">
        <v>11000</v>
      </c>
    </row>
    <row r="7" customFormat="false" ht="15" hidden="false" customHeight="false" outlineLevel="0" collapsed="false">
      <c r="A7" s="2" t="n">
        <v>2022</v>
      </c>
      <c r="B7" s="2" t="s">
        <v>18</v>
      </c>
      <c r="C7" s="2" t="n">
        <v>6</v>
      </c>
      <c r="D7" s="7" t="n">
        <v>159600</v>
      </c>
      <c r="E7" s="7" t="n">
        <v>35000</v>
      </c>
      <c r="F7" s="7" t="n">
        <v>129700</v>
      </c>
      <c r="G7" s="7" t="n">
        <v>16000</v>
      </c>
      <c r="H7" s="7" t="n">
        <v>8000</v>
      </c>
      <c r="I7" s="7" t="n">
        <v>220400</v>
      </c>
      <c r="J7" s="7" t="n">
        <v>48300</v>
      </c>
      <c r="K7" s="7" t="n">
        <v>179100</v>
      </c>
      <c r="L7" s="7" t="n">
        <v>22000</v>
      </c>
      <c r="M7" s="7" t="n">
        <v>11000</v>
      </c>
    </row>
    <row r="8" customFormat="false" ht="15" hidden="false" customHeight="false" outlineLevel="0" collapsed="false">
      <c r="A8" s="5" t="n">
        <v>2022</v>
      </c>
      <c r="B8" s="5" t="s">
        <v>19</v>
      </c>
      <c r="C8" s="5" t="n">
        <v>7</v>
      </c>
      <c r="D8" s="6" t="n">
        <v>159600</v>
      </c>
      <c r="E8" s="6" t="n">
        <v>35000</v>
      </c>
      <c r="F8" s="6" t="n">
        <v>129700</v>
      </c>
      <c r="G8" s="6" t="n">
        <v>16000</v>
      </c>
      <c r="H8" s="6" t="n">
        <v>8000</v>
      </c>
      <c r="I8" s="6" t="n">
        <v>220400</v>
      </c>
      <c r="J8" s="6" t="n">
        <v>48300</v>
      </c>
      <c r="K8" s="6" t="n">
        <v>179100</v>
      </c>
      <c r="L8" s="6" t="n">
        <v>22000</v>
      </c>
      <c r="M8" s="6" t="n">
        <v>11000</v>
      </c>
    </row>
    <row r="9" customFormat="false" ht="15" hidden="false" customHeight="false" outlineLevel="0" collapsed="false">
      <c r="A9" s="2" t="n">
        <v>2022</v>
      </c>
      <c r="B9" s="2" t="s">
        <v>20</v>
      </c>
      <c r="C9" s="2" t="n">
        <v>8</v>
      </c>
      <c r="D9" s="7" t="n">
        <v>151200</v>
      </c>
      <c r="E9" s="7" t="n">
        <v>35000</v>
      </c>
      <c r="F9" s="7" t="n">
        <v>122800</v>
      </c>
      <c r="G9" s="7" t="n">
        <v>15100</v>
      </c>
      <c r="H9" s="7" t="n">
        <v>7600</v>
      </c>
      <c r="I9" s="7" t="n">
        <v>208800</v>
      </c>
      <c r="J9" s="7" t="n">
        <v>48300</v>
      </c>
      <c r="K9" s="7" t="n">
        <v>169600</v>
      </c>
      <c r="L9" s="7" t="n">
        <v>20900</v>
      </c>
      <c r="M9" s="7" t="n">
        <v>10400</v>
      </c>
    </row>
    <row r="10" customFormat="false" ht="15" hidden="false" customHeight="false" outlineLevel="0" collapsed="false">
      <c r="A10" s="5" t="n">
        <v>2022</v>
      </c>
      <c r="B10" s="5" t="s">
        <v>21</v>
      </c>
      <c r="C10" s="5" t="n">
        <v>9</v>
      </c>
      <c r="D10" s="6" t="n">
        <v>142800</v>
      </c>
      <c r="E10" s="6" t="n">
        <v>35000</v>
      </c>
      <c r="F10" s="6" t="n">
        <v>116000</v>
      </c>
      <c r="G10" s="6" t="n">
        <v>14300</v>
      </c>
      <c r="H10" s="6" t="n">
        <v>7100</v>
      </c>
      <c r="I10" s="6" t="n">
        <v>197200</v>
      </c>
      <c r="J10" s="6" t="n">
        <v>48300</v>
      </c>
      <c r="K10" s="6" t="n">
        <v>160200</v>
      </c>
      <c r="L10" s="6" t="n">
        <v>19700</v>
      </c>
      <c r="M10" s="6" t="n">
        <v>9900</v>
      </c>
    </row>
    <row r="11" customFormat="false" ht="15" hidden="false" customHeight="false" outlineLevel="0" collapsed="false">
      <c r="A11" s="2" t="n">
        <v>2022</v>
      </c>
      <c r="B11" s="2" t="s">
        <v>22</v>
      </c>
      <c r="C11" s="2" t="n">
        <v>10</v>
      </c>
      <c r="D11" s="7" t="n">
        <v>142800</v>
      </c>
      <c r="E11" s="7" t="n">
        <v>35000</v>
      </c>
      <c r="F11" s="7" t="n">
        <v>116000</v>
      </c>
      <c r="G11" s="7" t="n">
        <v>14300</v>
      </c>
      <c r="H11" s="7" t="n">
        <v>7100</v>
      </c>
      <c r="I11" s="7" t="n">
        <v>197200</v>
      </c>
      <c r="J11" s="7" t="n">
        <v>48300</v>
      </c>
      <c r="K11" s="7" t="n">
        <v>160200</v>
      </c>
      <c r="L11" s="7" t="n">
        <v>19700</v>
      </c>
      <c r="M11" s="7" t="n">
        <v>9900</v>
      </c>
    </row>
    <row r="12" customFormat="false" ht="15" hidden="false" customHeight="false" outlineLevel="0" collapsed="false">
      <c r="A12" s="5" t="n">
        <v>2022</v>
      </c>
      <c r="B12" s="5" t="s">
        <v>23</v>
      </c>
      <c r="C12" s="5" t="n">
        <v>11</v>
      </c>
      <c r="D12" s="6" t="n">
        <v>134400</v>
      </c>
      <c r="E12" s="6" t="n">
        <v>35000</v>
      </c>
      <c r="F12" s="6" t="n">
        <v>109200</v>
      </c>
      <c r="G12" s="6" t="n">
        <v>13400</v>
      </c>
      <c r="H12" s="6" t="n">
        <v>6700</v>
      </c>
      <c r="I12" s="6" t="n">
        <v>185600</v>
      </c>
      <c r="J12" s="6" t="n">
        <v>48300</v>
      </c>
      <c r="K12" s="6" t="n">
        <v>150800</v>
      </c>
      <c r="L12" s="6" t="n">
        <v>18600</v>
      </c>
      <c r="M12" s="6" t="n">
        <v>9300</v>
      </c>
    </row>
    <row r="13" customFormat="false" ht="15" hidden="false" customHeight="false" outlineLevel="0" collapsed="false">
      <c r="A13" s="2" t="n">
        <v>2022</v>
      </c>
      <c r="B13" s="2" t="s">
        <v>24</v>
      </c>
      <c r="C13" s="2" t="n">
        <v>12</v>
      </c>
      <c r="D13" s="7" t="n">
        <v>134400</v>
      </c>
      <c r="E13" s="7" t="n">
        <v>35000</v>
      </c>
      <c r="F13" s="7" t="n">
        <v>109200</v>
      </c>
      <c r="G13" s="7" t="n">
        <v>13400</v>
      </c>
      <c r="H13" s="7" t="n">
        <v>6700</v>
      </c>
      <c r="I13" s="7" t="n">
        <v>185600</v>
      </c>
      <c r="J13" s="7" t="n">
        <v>48300</v>
      </c>
      <c r="K13" s="7" t="n">
        <v>150800</v>
      </c>
      <c r="L13" s="7" t="n">
        <v>18600</v>
      </c>
      <c r="M13" s="7" t="n">
        <v>9300</v>
      </c>
    </row>
    <row r="14" customFormat="false" ht="15" hidden="false" customHeight="false" outlineLevel="0" collapsed="false">
      <c r="A14" s="5" t="n">
        <v>2023</v>
      </c>
      <c r="B14" s="5" t="s">
        <v>13</v>
      </c>
      <c r="C14" s="5" t="n">
        <v>1</v>
      </c>
      <c r="D14" s="6" t="n">
        <v>115200</v>
      </c>
      <c r="E14" s="6" t="n">
        <v>40000</v>
      </c>
      <c r="F14" s="6" t="n">
        <v>93600</v>
      </c>
      <c r="G14" s="6" t="n">
        <v>11500</v>
      </c>
      <c r="H14" s="6" t="n">
        <v>5800</v>
      </c>
      <c r="I14" s="6" t="n">
        <v>139200</v>
      </c>
      <c r="J14" s="6" t="n">
        <v>48300</v>
      </c>
      <c r="K14" s="6" t="n">
        <v>113100</v>
      </c>
      <c r="L14" s="6" t="n">
        <v>13900</v>
      </c>
      <c r="M14" s="6" t="n">
        <v>7000</v>
      </c>
    </row>
    <row r="15" customFormat="false" ht="15" hidden="false" customHeight="false" outlineLevel="0" collapsed="false">
      <c r="A15" s="2" t="n">
        <v>2023</v>
      </c>
      <c r="B15" s="2" t="s">
        <v>14</v>
      </c>
      <c r="C15" s="2" t="n">
        <v>2</v>
      </c>
      <c r="D15" s="7" t="n">
        <v>124800</v>
      </c>
      <c r="E15" s="7" t="n">
        <v>40000</v>
      </c>
      <c r="F15" s="7" t="n">
        <v>101400</v>
      </c>
      <c r="G15" s="7" t="n">
        <v>12500</v>
      </c>
      <c r="H15" s="7" t="n">
        <v>6200</v>
      </c>
      <c r="I15" s="7" t="n">
        <v>150800</v>
      </c>
      <c r="J15" s="7" t="n">
        <v>48300</v>
      </c>
      <c r="K15" s="7" t="n">
        <v>122500</v>
      </c>
      <c r="L15" s="7" t="n">
        <v>15100</v>
      </c>
      <c r="M15" s="7" t="n">
        <v>7500</v>
      </c>
    </row>
    <row r="16" customFormat="false" ht="15" hidden="false" customHeight="false" outlineLevel="0" collapsed="false">
      <c r="A16" s="5" t="n">
        <v>2023</v>
      </c>
      <c r="B16" s="5" t="s">
        <v>15</v>
      </c>
      <c r="C16" s="5" t="n">
        <v>3</v>
      </c>
      <c r="D16" s="6" t="n">
        <v>144000</v>
      </c>
      <c r="E16" s="6" t="n">
        <v>40000</v>
      </c>
      <c r="F16" s="6" t="n">
        <v>117000</v>
      </c>
      <c r="G16" s="6" t="n">
        <v>14400</v>
      </c>
      <c r="H16" s="6" t="n">
        <v>7200</v>
      </c>
      <c r="I16" s="6" t="n">
        <v>174000</v>
      </c>
      <c r="J16" s="6" t="n">
        <v>48300</v>
      </c>
      <c r="K16" s="6" t="n">
        <v>141400</v>
      </c>
      <c r="L16" s="6" t="n">
        <v>17400</v>
      </c>
      <c r="M16" s="6" t="n">
        <v>8700</v>
      </c>
    </row>
    <row r="17" customFormat="false" ht="15" hidden="false" customHeight="false" outlineLevel="0" collapsed="false">
      <c r="A17" s="2" t="n">
        <v>2023</v>
      </c>
      <c r="B17" s="2" t="s">
        <v>16</v>
      </c>
      <c r="C17" s="2" t="n">
        <v>4</v>
      </c>
      <c r="D17" s="7" t="n">
        <v>172800</v>
      </c>
      <c r="E17" s="7" t="n">
        <v>40000</v>
      </c>
      <c r="F17" s="7" t="n">
        <v>140400</v>
      </c>
      <c r="G17" s="7" t="n">
        <v>17300</v>
      </c>
      <c r="H17" s="7" t="n">
        <v>8600</v>
      </c>
      <c r="I17" s="7" t="n">
        <v>208800</v>
      </c>
      <c r="J17" s="7" t="n">
        <v>48300</v>
      </c>
      <c r="K17" s="7" t="n">
        <v>169600</v>
      </c>
      <c r="L17" s="7" t="n">
        <v>20900</v>
      </c>
      <c r="M17" s="7" t="n">
        <v>10400</v>
      </c>
    </row>
    <row r="18" customFormat="false" ht="15" hidden="false" customHeight="false" outlineLevel="0" collapsed="false">
      <c r="A18" s="5" t="n">
        <v>2023</v>
      </c>
      <c r="B18" s="5" t="s">
        <v>17</v>
      </c>
      <c r="C18" s="5" t="n">
        <v>5</v>
      </c>
      <c r="D18" s="6" t="n">
        <v>182400</v>
      </c>
      <c r="E18" s="6" t="n">
        <v>40000</v>
      </c>
      <c r="F18" s="6" t="n">
        <v>148200</v>
      </c>
      <c r="G18" s="6" t="n">
        <v>18200</v>
      </c>
      <c r="H18" s="6" t="n">
        <v>9100</v>
      </c>
      <c r="I18" s="6" t="n">
        <v>220400</v>
      </c>
      <c r="J18" s="6" t="n">
        <v>48300</v>
      </c>
      <c r="K18" s="6" t="n">
        <v>179100</v>
      </c>
      <c r="L18" s="6" t="n">
        <v>22000</v>
      </c>
      <c r="M18" s="6" t="n">
        <v>11000</v>
      </c>
    </row>
    <row r="19" customFormat="false" ht="15" hidden="false" customHeight="false" outlineLevel="0" collapsed="false">
      <c r="A19" s="2" t="n">
        <v>2023</v>
      </c>
      <c r="B19" s="2" t="s">
        <v>18</v>
      </c>
      <c r="C19" s="2" t="n">
        <v>6</v>
      </c>
      <c r="D19" s="7" t="n">
        <v>182400</v>
      </c>
      <c r="E19" s="7" t="n">
        <v>40000</v>
      </c>
      <c r="F19" s="7" t="n">
        <v>148200</v>
      </c>
      <c r="G19" s="7" t="n">
        <v>18200</v>
      </c>
      <c r="H19" s="7" t="n">
        <v>9100</v>
      </c>
      <c r="I19" s="7" t="n">
        <v>220400</v>
      </c>
      <c r="J19" s="7" t="n">
        <v>48300</v>
      </c>
      <c r="K19" s="7" t="n">
        <v>179100</v>
      </c>
      <c r="L19" s="7" t="n">
        <v>22000</v>
      </c>
      <c r="M19" s="7" t="n">
        <v>11000</v>
      </c>
    </row>
    <row r="20" customFormat="false" ht="15" hidden="false" customHeight="false" outlineLevel="0" collapsed="false">
      <c r="A20" s="5" t="n">
        <v>2023</v>
      </c>
      <c r="B20" s="5" t="s">
        <v>19</v>
      </c>
      <c r="C20" s="5" t="n">
        <v>7</v>
      </c>
      <c r="D20" s="6" t="n">
        <v>182400</v>
      </c>
      <c r="E20" s="6" t="n">
        <v>40000</v>
      </c>
      <c r="F20" s="6" t="n">
        <v>148200</v>
      </c>
      <c r="G20" s="6" t="n">
        <v>18200</v>
      </c>
      <c r="H20" s="6" t="n">
        <v>9100</v>
      </c>
      <c r="I20" s="6" t="n">
        <v>220400</v>
      </c>
      <c r="J20" s="6" t="n">
        <v>48300</v>
      </c>
      <c r="K20" s="6" t="n">
        <v>179100</v>
      </c>
      <c r="L20" s="6" t="n">
        <v>22000</v>
      </c>
      <c r="M20" s="6" t="n">
        <v>11000</v>
      </c>
    </row>
    <row r="21" customFormat="false" ht="15" hidden="false" customHeight="false" outlineLevel="0" collapsed="false">
      <c r="A21" s="2" t="n">
        <v>2023</v>
      </c>
      <c r="B21" s="2" t="s">
        <v>20</v>
      </c>
      <c r="C21" s="2" t="n">
        <v>8</v>
      </c>
      <c r="D21" s="7" t="n">
        <v>172800</v>
      </c>
      <c r="E21" s="7" t="n">
        <v>40000</v>
      </c>
      <c r="F21" s="7" t="n">
        <v>140400</v>
      </c>
      <c r="G21" s="7" t="n">
        <v>17300</v>
      </c>
      <c r="H21" s="7" t="n">
        <v>8600</v>
      </c>
      <c r="I21" s="7" t="n">
        <v>208800</v>
      </c>
      <c r="J21" s="7" t="n">
        <v>48300</v>
      </c>
      <c r="K21" s="7" t="n">
        <v>169600</v>
      </c>
      <c r="L21" s="7" t="n">
        <v>20900</v>
      </c>
      <c r="M21" s="7" t="n">
        <v>10400</v>
      </c>
    </row>
    <row r="22" customFormat="false" ht="15" hidden="false" customHeight="false" outlineLevel="0" collapsed="false">
      <c r="A22" s="5" t="n">
        <v>2023</v>
      </c>
      <c r="B22" s="5" t="s">
        <v>21</v>
      </c>
      <c r="C22" s="5" t="n">
        <v>9</v>
      </c>
      <c r="D22" s="6" t="n">
        <v>163200</v>
      </c>
      <c r="E22" s="6" t="n">
        <v>40000</v>
      </c>
      <c r="F22" s="6" t="n">
        <v>132600</v>
      </c>
      <c r="G22" s="6" t="n">
        <v>16300</v>
      </c>
      <c r="H22" s="6" t="n">
        <v>8200</v>
      </c>
      <c r="I22" s="6" t="n">
        <v>197200</v>
      </c>
      <c r="J22" s="6" t="n">
        <v>48300</v>
      </c>
      <c r="K22" s="6" t="n">
        <v>160200</v>
      </c>
      <c r="L22" s="6" t="n">
        <v>19700</v>
      </c>
      <c r="M22" s="6" t="n">
        <v>9900</v>
      </c>
    </row>
    <row r="23" customFormat="false" ht="15" hidden="false" customHeight="false" outlineLevel="0" collapsed="false">
      <c r="A23" s="2" t="n">
        <v>2023</v>
      </c>
      <c r="B23" s="2" t="s">
        <v>22</v>
      </c>
      <c r="C23" s="2" t="n">
        <v>10</v>
      </c>
      <c r="D23" s="7" t="n">
        <v>163200</v>
      </c>
      <c r="E23" s="7" t="n">
        <v>40000</v>
      </c>
      <c r="F23" s="7" t="n">
        <v>132600</v>
      </c>
      <c r="G23" s="7" t="n">
        <v>16300</v>
      </c>
      <c r="H23" s="7" t="n">
        <v>8200</v>
      </c>
      <c r="I23" s="7" t="n">
        <v>197200</v>
      </c>
      <c r="J23" s="7" t="n">
        <v>48300</v>
      </c>
      <c r="K23" s="7" t="n">
        <v>160200</v>
      </c>
      <c r="L23" s="7" t="n">
        <v>19700</v>
      </c>
      <c r="M23" s="7" t="n">
        <v>9900</v>
      </c>
    </row>
    <row r="24" customFormat="false" ht="15" hidden="false" customHeight="false" outlineLevel="0" collapsed="false">
      <c r="A24" s="5" t="n">
        <v>2023</v>
      </c>
      <c r="B24" s="5" t="s">
        <v>23</v>
      </c>
      <c r="C24" s="5" t="n">
        <v>11</v>
      </c>
      <c r="D24" s="6" t="n">
        <v>153600</v>
      </c>
      <c r="E24" s="6" t="n">
        <v>40000</v>
      </c>
      <c r="F24" s="6" t="n">
        <v>124800</v>
      </c>
      <c r="G24" s="6" t="n">
        <v>15400</v>
      </c>
      <c r="H24" s="6" t="n">
        <v>7700</v>
      </c>
      <c r="I24" s="6" t="n">
        <v>185600</v>
      </c>
      <c r="J24" s="6" t="n">
        <v>48300</v>
      </c>
      <c r="K24" s="6" t="n">
        <v>150800</v>
      </c>
      <c r="L24" s="6" t="n">
        <v>18600</v>
      </c>
      <c r="M24" s="6" t="n">
        <v>9300</v>
      </c>
    </row>
    <row r="25" customFormat="false" ht="15" hidden="false" customHeight="false" outlineLevel="0" collapsed="false">
      <c r="A25" s="2" t="n">
        <v>2023</v>
      </c>
      <c r="B25" s="2" t="s">
        <v>24</v>
      </c>
      <c r="C25" s="2" t="n">
        <v>12</v>
      </c>
      <c r="D25" s="7" t="n">
        <v>153600</v>
      </c>
      <c r="E25" s="7" t="n">
        <v>40000</v>
      </c>
      <c r="F25" s="7" t="n">
        <v>124800</v>
      </c>
      <c r="G25" s="7" t="n">
        <v>15400</v>
      </c>
      <c r="H25" s="7" t="n">
        <v>7700</v>
      </c>
      <c r="I25" s="7" t="n">
        <v>185600</v>
      </c>
      <c r="J25" s="7" t="n">
        <v>48300</v>
      </c>
      <c r="K25" s="7" t="n">
        <v>150800</v>
      </c>
      <c r="L25" s="7" t="n">
        <v>18600</v>
      </c>
      <c r="M25" s="7" t="n">
        <v>9300</v>
      </c>
    </row>
    <row r="26" customFormat="false" ht="15" hidden="false" customHeight="false" outlineLevel="0" collapsed="false">
      <c r="A26" s="5" t="n">
        <v>2024</v>
      </c>
      <c r="B26" s="5" t="s">
        <v>13</v>
      </c>
      <c r="C26" s="5" t="n">
        <v>1</v>
      </c>
      <c r="D26" s="6" t="n">
        <v>127200</v>
      </c>
      <c r="E26" s="6" t="n">
        <v>44200</v>
      </c>
      <c r="F26" s="6" t="n">
        <v>103400</v>
      </c>
      <c r="G26" s="6" t="n">
        <v>12700</v>
      </c>
      <c r="H26" s="6" t="n">
        <v>6400</v>
      </c>
      <c r="I26" s="6" t="n">
        <v>139200</v>
      </c>
      <c r="J26" s="6" t="n">
        <v>48300</v>
      </c>
      <c r="K26" s="6" t="n">
        <v>113100</v>
      </c>
      <c r="L26" s="6" t="n">
        <v>13900</v>
      </c>
      <c r="M26" s="6" t="n">
        <v>7000</v>
      </c>
    </row>
    <row r="27" customFormat="false" ht="15" hidden="false" customHeight="false" outlineLevel="0" collapsed="false">
      <c r="A27" s="2" t="n">
        <v>2024</v>
      </c>
      <c r="B27" s="2" t="s">
        <v>14</v>
      </c>
      <c r="C27" s="2" t="n">
        <v>2</v>
      </c>
      <c r="D27" s="7" t="n">
        <v>137800</v>
      </c>
      <c r="E27" s="7" t="n">
        <v>44200</v>
      </c>
      <c r="F27" s="7" t="n">
        <v>112000</v>
      </c>
      <c r="G27" s="7" t="n">
        <v>13800</v>
      </c>
      <c r="H27" s="7" t="n">
        <v>6900</v>
      </c>
      <c r="I27" s="7" t="n">
        <v>150800</v>
      </c>
      <c r="J27" s="7" t="n">
        <v>48300</v>
      </c>
      <c r="K27" s="7" t="n">
        <v>122500</v>
      </c>
      <c r="L27" s="7" t="n">
        <v>15100</v>
      </c>
      <c r="M27" s="7" t="n">
        <v>7500</v>
      </c>
    </row>
    <row r="28" customFormat="false" ht="15" hidden="false" customHeight="false" outlineLevel="0" collapsed="false">
      <c r="A28" s="5" t="n">
        <v>2024</v>
      </c>
      <c r="B28" s="5" t="s">
        <v>15</v>
      </c>
      <c r="C28" s="5" t="n">
        <v>3</v>
      </c>
      <c r="D28" s="6" t="n">
        <v>159000</v>
      </c>
      <c r="E28" s="6" t="n">
        <v>44200</v>
      </c>
      <c r="F28" s="6" t="n">
        <v>129200</v>
      </c>
      <c r="G28" s="6" t="n">
        <v>15900</v>
      </c>
      <c r="H28" s="6" t="n">
        <v>8000</v>
      </c>
      <c r="I28" s="6" t="n">
        <v>174000</v>
      </c>
      <c r="J28" s="6" t="n">
        <v>48300</v>
      </c>
      <c r="K28" s="6" t="n">
        <v>141400</v>
      </c>
      <c r="L28" s="6" t="n">
        <v>17400</v>
      </c>
      <c r="M28" s="6" t="n">
        <v>8700</v>
      </c>
    </row>
    <row r="29" customFormat="false" ht="15" hidden="false" customHeight="false" outlineLevel="0" collapsed="false">
      <c r="A29" s="2" t="n">
        <v>2024</v>
      </c>
      <c r="B29" s="2" t="s">
        <v>16</v>
      </c>
      <c r="C29" s="2" t="n">
        <v>4</v>
      </c>
      <c r="D29" s="7" t="n">
        <v>190800</v>
      </c>
      <c r="E29" s="7" t="n">
        <v>44200</v>
      </c>
      <c r="F29" s="7" t="n">
        <v>155000</v>
      </c>
      <c r="G29" s="7" t="n">
        <v>19100</v>
      </c>
      <c r="H29" s="7" t="n">
        <v>9500</v>
      </c>
      <c r="I29" s="7" t="n">
        <v>208800</v>
      </c>
      <c r="J29" s="7" t="n">
        <v>48300</v>
      </c>
      <c r="K29" s="7" t="n">
        <v>169600</v>
      </c>
      <c r="L29" s="7" t="n">
        <v>20900</v>
      </c>
      <c r="M29" s="7" t="n">
        <v>10400</v>
      </c>
    </row>
    <row r="30" customFormat="false" ht="15" hidden="false" customHeight="false" outlineLevel="0" collapsed="false">
      <c r="A30" s="5" t="n">
        <v>2024</v>
      </c>
      <c r="B30" s="5" t="s">
        <v>17</v>
      </c>
      <c r="C30" s="5" t="n">
        <v>5</v>
      </c>
      <c r="D30" s="6" t="n">
        <v>201400</v>
      </c>
      <c r="E30" s="6" t="n">
        <v>44200</v>
      </c>
      <c r="F30" s="6" t="n">
        <v>163600</v>
      </c>
      <c r="G30" s="6" t="n">
        <v>20100</v>
      </c>
      <c r="H30" s="6" t="n">
        <v>10100</v>
      </c>
      <c r="I30" s="6" t="n">
        <v>220400</v>
      </c>
      <c r="J30" s="6" t="n">
        <v>48300</v>
      </c>
      <c r="K30" s="6" t="n">
        <v>179100</v>
      </c>
      <c r="L30" s="6" t="n">
        <v>22000</v>
      </c>
      <c r="M30" s="6" t="n">
        <v>11000</v>
      </c>
    </row>
    <row r="31" customFormat="false" ht="15" hidden="false" customHeight="false" outlineLevel="0" collapsed="false">
      <c r="A31" s="2" t="n">
        <v>2024</v>
      </c>
      <c r="B31" s="2" t="s">
        <v>18</v>
      </c>
      <c r="C31" s="2" t="n">
        <v>6</v>
      </c>
      <c r="D31" s="7" t="n">
        <v>201400</v>
      </c>
      <c r="E31" s="7" t="n">
        <v>44200</v>
      </c>
      <c r="F31" s="7" t="n">
        <v>163600</v>
      </c>
      <c r="G31" s="7" t="n">
        <v>20100</v>
      </c>
      <c r="H31" s="7" t="n">
        <v>10100</v>
      </c>
      <c r="I31" s="7" t="n">
        <v>220400</v>
      </c>
      <c r="J31" s="7" t="n">
        <v>48300</v>
      </c>
      <c r="K31" s="7" t="n">
        <v>179100</v>
      </c>
      <c r="L31" s="7" t="n">
        <v>22000</v>
      </c>
      <c r="M31" s="7" t="n">
        <v>11000</v>
      </c>
    </row>
    <row r="32" customFormat="false" ht="15" hidden="false" customHeight="false" outlineLevel="0" collapsed="false">
      <c r="A32" s="5" t="n">
        <v>2024</v>
      </c>
      <c r="B32" s="5" t="s">
        <v>19</v>
      </c>
      <c r="C32" s="5" t="n">
        <v>7</v>
      </c>
      <c r="D32" s="6" t="n">
        <v>201400</v>
      </c>
      <c r="E32" s="6" t="n">
        <v>44200</v>
      </c>
      <c r="F32" s="6" t="n">
        <v>163600</v>
      </c>
      <c r="G32" s="6" t="n">
        <v>20100</v>
      </c>
      <c r="H32" s="6" t="n">
        <v>10100</v>
      </c>
      <c r="I32" s="6" t="n">
        <v>220400</v>
      </c>
      <c r="J32" s="6" t="n">
        <v>48300</v>
      </c>
      <c r="K32" s="6" t="n">
        <v>179100</v>
      </c>
      <c r="L32" s="6" t="n">
        <v>22000</v>
      </c>
      <c r="M32" s="6" t="n">
        <v>11000</v>
      </c>
    </row>
    <row r="33" customFormat="false" ht="15" hidden="false" customHeight="false" outlineLevel="0" collapsed="false">
      <c r="A33" s="2" t="n">
        <v>2024</v>
      </c>
      <c r="B33" s="2" t="s">
        <v>20</v>
      </c>
      <c r="C33" s="2" t="n">
        <v>8</v>
      </c>
      <c r="D33" s="7" t="n">
        <v>190800</v>
      </c>
      <c r="E33" s="7" t="n">
        <v>44200</v>
      </c>
      <c r="F33" s="7" t="n">
        <v>155000</v>
      </c>
      <c r="G33" s="7" t="n">
        <v>19100</v>
      </c>
      <c r="H33" s="7" t="n">
        <v>9500</v>
      </c>
      <c r="I33" s="7" t="n">
        <v>208800</v>
      </c>
      <c r="J33" s="7" t="n">
        <v>48300</v>
      </c>
      <c r="K33" s="7" t="n">
        <v>169600</v>
      </c>
      <c r="L33" s="7" t="n">
        <v>20900</v>
      </c>
      <c r="M33" s="7" t="n">
        <v>10400</v>
      </c>
    </row>
    <row r="34" customFormat="false" ht="15" hidden="false" customHeight="false" outlineLevel="0" collapsed="false">
      <c r="A34" s="5" t="n">
        <v>2024</v>
      </c>
      <c r="B34" s="5" t="s">
        <v>21</v>
      </c>
      <c r="C34" s="5" t="n">
        <v>9</v>
      </c>
      <c r="D34" s="6" t="n">
        <v>180200</v>
      </c>
      <c r="E34" s="6" t="n">
        <v>44200</v>
      </c>
      <c r="F34" s="6" t="n">
        <v>146400</v>
      </c>
      <c r="G34" s="6" t="n">
        <v>18000</v>
      </c>
      <c r="H34" s="6" t="n">
        <v>9000</v>
      </c>
      <c r="I34" s="6" t="n">
        <v>197200</v>
      </c>
      <c r="J34" s="6" t="n">
        <v>48300</v>
      </c>
      <c r="K34" s="6" t="n">
        <v>160200</v>
      </c>
      <c r="L34" s="6" t="n">
        <v>19700</v>
      </c>
      <c r="M34" s="6" t="n">
        <v>9900</v>
      </c>
    </row>
    <row r="35" customFormat="false" ht="15" hidden="false" customHeight="false" outlineLevel="0" collapsed="false">
      <c r="A35" s="2" t="n">
        <v>2024</v>
      </c>
      <c r="B35" s="2" t="s">
        <v>22</v>
      </c>
      <c r="C35" s="2" t="n">
        <v>10</v>
      </c>
      <c r="D35" s="7" t="n">
        <v>180200</v>
      </c>
      <c r="E35" s="7" t="n">
        <v>44200</v>
      </c>
      <c r="F35" s="7" t="n">
        <v>146400</v>
      </c>
      <c r="G35" s="7" t="n">
        <v>18000</v>
      </c>
      <c r="H35" s="7" t="n">
        <v>9000</v>
      </c>
      <c r="I35" s="7" t="n">
        <v>197200</v>
      </c>
      <c r="J35" s="7" t="n">
        <v>48300</v>
      </c>
      <c r="K35" s="7" t="n">
        <v>160200</v>
      </c>
      <c r="L35" s="7" t="n">
        <v>19700</v>
      </c>
      <c r="M35" s="7" t="n">
        <v>9900</v>
      </c>
    </row>
    <row r="36" customFormat="false" ht="15" hidden="false" customHeight="false" outlineLevel="0" collapsed="false">
      <c r="A36" s="5" t="n">
        <v>2024</v>
      </c>
      <c r="B36" s="5" t="s">
        <v>23</v>
      </c>
      <c r="C36" s="5" t="n">
        <v>11</v>
      </c>
      <c r="D36" s="6" t="n">
        <v>169600</v>
      </c>
      <c r="E36" s="6" t="n">
        <v>44200</v>
      </c>
      <c r="F36" s="6" t="n">
        <v>137800</v>
      </c>
      <c r="G36" s="6" t="n">
        <v>17000</v>
      </c>
      <c r="H36" s="6" t="n">
        <v>8500</v>
      </c>
      <c r="I36" s="6" t="n">
        <v>185600</v>
      </c>
      <c r="J36" s="6" t="n">
        <v>48300</v>
      </c>
      <c r="K36" s="6" t="n">
        <v>150800</v>
      </c>
      <c r="L36" s="6" t="n">
        <v>18600</v>
      </c>
      <c r="M36" s="6" t="n">
        <v>9300</v>
      </c>
    </row>
    <row r="37" customFormat="false" ht="15" hidden="false" customHeight="false" outlineLevel="0" collapsed="false">
      <c r="A37" s="2" t="n">
        <v>2024</v>
      </c>
      <c r="B37" s="2" t="s">
        <v>24</v>
      </c>
      <c r="C37" s="2" t="n">
        <v>12</v>
      </c>
      <c r="D37" s="7" t="n">
        <v>169600</v>
      </c>
      <c r="E37" s="7" t="n">
        <v>44200</v>
      </c>
      <c r="F37" s="7" t="n">
        <v>137800</v>
      </c>
      <c r="G37" s="7" t="n">
        <v>17000</v>
      </c>
      <c r="H37" s="7" t="n">
        <v>8500</v>
      </c>
      <c r="I37" s="7" t="n">
        <v>185600</v>
      </c>
      <c r="J37" s="7" t="n">
        <v>48300</v>
      </c>
      <c r="K37" s="7" t="n">
        <v>150800</v>
      </c>
      <c r="L37" s="7" t="n">
        <v>18600</v>
      </c>
      <c r="M37" s="7" t="n">
        <v>9300</v>
      </c>
    </row>
    <row r="39" customFormat="false" ht="15" hidden="false" customHeight="false" outlineLevel="0" collapsed="false">
      <c r="A39" s="8" t="s">
        <v>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7"/>
  <sheetViews>
    <sheetView showFormulas="false" showGridLines="true" showRowColHeaders="true" showZeros="true" rightToLeft="false" tabSelected="false" showOutlineSymbols="true" defaultGridColor="true" view="normal" topLeftCell="A10" colorId="64" zoomScale="65" zoomScaleNormal="65" zoomScalePageLayoutView="100" workbookViewId="0">
      <selection pane="topLeft" activeCell="E17" activeCellId="0" sqref="E17"/>
    </sheetView>
  </sheetViews>
  <sheetFormatPr defaultColWidth="8.54296875" defaultRowHeight="13.8" customHeight="false" zeroHeight="false" outlineLevelRow="0" outlineLevelCol="0"/>
  <cols>
    <col collapsed="false" customWidth="true" hidden="false" outlineLevel="0" max="1" min="1" style="9" width="26"/>
    <col collapsed="false" customWidth="true" hidden="false" outlineLevel="0" max="3" min="2" style="9" width="14"/>
    <col collapsed="false" customWidth="true" hidden="false" outlineLevel="0" max="4" min="4" style="9" width="28"/>
    <col collapsed="false" customWidth="true" hidden="false" outlineLevel="0" max="5" min="5" style="9" width="45"/>
  </cols>
  <sheetData>
    <row r="1" customFormat="false" ht="27.75" hidden="false" customHeight="true" outlineLevel="0" collapsed="false">
      <c r="A1" s="10" t="s">
        <v>26</v>
      </c>
      <c r="B1" s="10"/>
      <c r="C1" s="10"/>
      <c r="D1" s="10"/>
      <c r="E1" s="10"/>
      <c r="F1" s="10"/>
      <c r="G1" s="10"/>
    </row>
    <row r="2" customFormat="false" ht="13.8" hidden="false" customHeight="false" outlineLevel="0" collapsed="false">
      <c r="A2" s="11" t="s">
        <v>27</v>
      </c>
      <c r="B2" s="11"/>
      <c r="C2" s="11"/>
      <c r="D2" s="11"/>
      <c r="E2" s="11"/>
      <c r="F2" s="11"/>
      <c r="G2" s="11"/>
    </row>
    <row r="4" customFormat="false" ht="21.75" hidden="false" customHeight="true" outlineLevel="0" collapsed="false">
      <c r="A4" s="12" t="s">
        <v>28</v>
      </c>
      <c r="B4" s="12" t="s">
        <v>29</v>
      </c>
      <c r="C4" s="12" t="s">
        <v>30</v>
      </c>
      <c r="D4" s="12" t="s">
        <v>31</v>
      </c>
      <c r="E4" s="12" t="s">
        <v>32</v>
      </c>
    </row>
    <row r="5" customFormat="false" ht="19.5" hidden="false" customHeight="true" outlineLevel="0" collapsed="false">
      <c r="A5" s="13" t="s">
        <v>33</v>
      </c>
      <c r="B5" s="13"/>
      <c r="C5" s="13"/>
      <c r="D5" s="13"/>
      <c r="E5" s="13"/>
    </row>
    <row r="6" customFormat="false" ht="39.75" hidden="false" customHeight="true" outlineLevel="0" collapsed="false">
      <c r="A6" s="14" t="s">
        <v>34</v>
      </c>
      <c r="B6" s="15" t="n">
        <f aca="false">SUM(RawData!D2:E13)</f>
        <v>2091600</v>
      </c>
      <c r="C6" s="16"/>
      <c r="D6" s="17" t="s">
        <v>35</v>
      </c>
      <c r="E6" s="18" t="s">
        <v>36</v>
      </c>
    </row>
    <row r="7" customFormat="false" ht="39.75" hidden="false" customHeight="true" outlineLevel="0" collapsed="false">
      <c r="A7" s="19" t="s">
        <v>37</v>
      </c>
      <c r="B7" s="20" t="n">
        <v>240000</v>
      </c>
      <c r="C7" s="21" t="n">
        <f aca="false">B7/B6</f>
        <v>0.114744693057946</v>
      </c>
      <c r="D7" s="22" t="s">
        <v>38</v>
      </c>
      <c r="E7" s="23" t="s">
        <v>39</v>
      </c>
    </row>
    <row r="8" customFormat="false" ht="39.75" hidden="false" customHeight="true" outlineLevel="0" collapsed="false">
      <c r="A8" s="19" t="s">
        <v>40</v>
      </c>
      <c r="B8" s="20" t="n">
        <v>169200</v>
      </c>
      <c r="C8" s="21" t="n">
        <f aca="false">B8/B6</f>
        <v>0.080895008605852</v>
      </c>
      <c r="D8" s="22" t="s">
        <v>41</v>
      </c>
      <c r="E8" s="23" t="s">
        <v>42</v>
      </c>
    </row>
    <row r="9" customFormat="false" ht="39.75" hidden="false" customHeight="true" outlineLevel="0" collapsed="false">
      <c r="A9" s="24" t="s">
        <v>43</v>
      </c>
      <c r="B9" s="25" t="n">
        <v>0</v>
      </c>
      <c r="C9" s="26" t="n">
        <v>0</v>
      </c>
      <c r="D9" s="22" t="s">
        <v>44</v>
      </c>
      <c r="E9" s="27" t="s">
        <v>45</v>
      </c>
    </row>
    <row r="10" customFormat="false" ht="39.75" hidden="false" customHeight="true" outlineLevel="0" collapsed="false">
      <c r="A10" s="14" t="s">
        <v>46</v>
      </c>
      <c r="B10" s="15" t="n">
        <f aca="false">SUM(RawData!D14:E25)</f>
        <v>2390400</v>
      </c>
      <c r="C10" s="16"/>
      <c r="D10" s="17" t="s">
        <v>47</v>
      </c>
      <c r="E10" s="18" t="s">
        <v>48</v>
      </c>
    </row>
    <row r="12" customFormat="false" ht="18" hidden="false" customHeight="true" outlineLevel="0" collapsed="false">
      <c r="A12" s="28" t="s">
        <v>49</v>
      </c>
      <c r="B12" s="28"/>
      <c r="C12" s="28"/>
      <c r="D12" s="28"/>
      <c r="E12" s="28"/>
    </row>
    <row r="14" customFormat="false" ht="21.75" hidden="false" customHeight="true" outlineLevel="0" collapsed="false">
      <c r="A14" s="12" t="s">
        <v>28</v>
      </c>
      <c r="B14" s="12" t="s">
        <v>29</v>
      </c>
      <c r="C14" s="12" t="s">
        <v>30</v>
      </c>
      <c r="D14" s="12" t="s">
        <v>31</v>
      </c>
      <c r="E14" s="12" t="s">
        <v>32</v>
      </c>
    </row>
    <row r="15" customFormat="false" ht="19.5" hidden="false" customHeight="true" outlineLevel="0" collapsed="false">
      <c r="A15" s="13" t="s">
        <v>49</v>
      </c>
      <c r="B15" s="13"/>
      <c r="C15" s="13"/>
      <c r="D15" s="13"/>
      <c r="E15" s="13"/>
    </row>
    <row r="16" customFormat="false" ht="39.75" hidden="false" customHeight="true" outlineLevel="0" collapsed="false">
      <c r="A16" s="14" t="s">
        <v>50</v>
      </c>
      <c r="B16" s="15" t="n">
        <f aca="false">SUM(RawData!D14:E25)</f>
        <v>2390400</v>
      </c>
      <c r="C16" s="16"/>
      <c r="D16" s="17" t="s">
        <v>35</v>
      </c>
      <c r="E16" s="18" t="s">
        <v>36</v>
      </c>
    </row>
    <row r="17" customFormat="false" ht="39.75" hidden="false" customHeight="true" outlineLevel="0" collapsed="false">
      <c r="A17" s="19" t="s">
        <v>37</v>
      </c>
      <c r="B17" s="20" t="n">
        <v>258000</v>
      </c>
      <c r="C17" s="21" t="n">
        <f aca="false">B17/B16</f>
        <v>0.107931726907631</v>
      </c>
      <c r="D17" s="22" t="s">
        <v>51</v>
      </c>
      <c r="E17" s="23" t="s">
        <v>52</v>
      </c>
    </row>
    <row r="18" customFormat="false" ht="39.75" hidden="false" customHeight="true" outlineLevel="0" collapsed="false">
      <c r="A18" s="19" t="s">
        <v>40</v>
      </c>
      <c r="B18" s="20" t="n">
        <v>187200</v>
      </c>
      <c r="C18" s="21" t="n">
        <f aca="false">B18/B16</f>
        <v>0.0783132530120482</v>
      </c>
      <c r="D18" s="22" t="s">
        <v>53</v>
      </c>
      <c r="E18" s="23" t="s">
        <v>54</v>
      </c>
    </row>
    <row r="19" customFormat="false" ht="39.75" hidden="false" customHeight="true" outlineLevel="0" collapsed="false">
      <c r="A19" s="24" t="s">
        <v>43</v>
      </c>
      <c r="B19" s="25" t="n">
        <v>0</v>
      </c>
      <c r="C19" s="26" t="n">
        <v>0</v>
      </c>
      <c r="D19" s="22" t="s">
        <v>44</v>
      </c>
      <c r="E19" s="27" t="s">
        <v>45</v>
      </c>
    </row>
    <row r="20" customFormat="false" ht="39.75" hidden="false" customHeight="true" outlineLevel="0" collapsed="false">
      <c r="A20" s="14" t="s">
        <v>55</v>
      </c>
      <c r="B20" s="15" t="n">
        <f aca="false">SUM(RawData!D26:E37)</f>
        <v>2639800</v>
      </c>
      <c r="C20" s="16"/>
      <c r="D20" s="17" t="s">
        <v>47</v>
      </c>
      <c r="E20" s="18" t="s">
        <v>56</v>
      </c>
    </row>
    <row r="21" customFormat="false" ht="21.75" hidden="false" customHeight="true" outlineLevel="0" collapsed="false">
      <c r="A21" s="12"/>
      <c r="B21" s="12"/>
      <c r="C21" s="12"/>
      <c r="D21" s="12"/>
      <c r="E21" s="12"/>
    </row>
    <row r="23" customFormat="false" ht="13.8" hidden="false" customHeight="false" outlineLevel="0" collapsed="false">
      <c r="A23" s="13" t="s">
        <v>57</v>
      </c>
      <c r="B23" s="13"/>
      <c r="C23" s="13"/>
      <c r="D23" s="13"/>
      <c r="E23" s="13"/>
    </row>
    <row r="24" customFormat="false" ht="13.8" hidden="false" customHeight="false" outlineLevel="0" collapsed="false">
      <c r="A24" s="29" t="s">
        <v>0</v>
      </c>
      <c r="B24" s="29" t="s">
        <v>58</v>
      </c>
      <c r="C24" s="29" t="s">
        <v>59</v>
      </c>
      <c r="D24" s="29" t="s">
        <v>60</v>
      </c>
      <c r="E24" s="29" t="s">
        <v>61</v>
      </c>
    </row>
    <row r="25" customFormat="false" ht="13.8" hidden="false" customHeight="false" outlineLevel="0" collapsed="false">
      <c r="A25" s="30" t="n">
        <v>2022</v>
      </c>
      <c r="B25" s="31" t="n">
        <f aca="false">B6</f>
        <v>2091600</v>
      </c>
      <c r="C25" s="31" t="n">
        <f aca="false">SUM(RawData!F2:H13)</f>
        <v>1608900</v>
      </c>
      <c r="D25" s="32" t="n">
        <f aca="false">B25-C25</f>
        <v>482700</v>
      </c>
      <c r="E25" s="33" t="n">
        <f aca="false">D25/B25</f>
        <v>0.230780263912794</v>
      </c>
    </row>
    <row r="26" customFormat="false" ht="13.8" hidden="false" customHeight="false" outlineLevel="0" collapsed="false">
      <c r="A26" s="34" t="n">
        <v>2023</v>
      </c>
      <c r="B26" s="35" t="n">
        <f aca="false">B10</f>
        <v>2390400</v>
      </c>
      <c r="C26" s="31" t="n">
        <f aca="false">SUM(RawData!F14:H25)</f>
        <v>1838700</v>
      </c>
      <c r="D26" s="32" t="n">
        <f aca="false">B26-C26</f>
        <v>551700</v>
      </c>
      <c r="E26" s="33" t="n">
        <f aca="false">D26/B26</f>
        <v>0.230798192771084</v>
      </c>
    </row>
    <row r="27" customFormat="false" ht="13.8" hidden="false" customHeight="false" outlineLevel="0" collapsed="false">
      <c r="A27" s="30" t="n">
        <v>2024</v>
      </c>
      <c r="B27" s="31" t="n">
        <f aca="false">B20</f>
        <v>2639800</v>
      </c>
      <c r="C27" s="31" t="n">
        <f aca="false">SUM(RawData!F26:H37)</f>
        <v>2030300</v>
      </c>
      <c r="D27" s="32" t="n">
        <f aca="false">B27-C27</f>
        <v>609500</v>
      </c>
      <c r="E27" s="33" t="n">
        <f aca="false">D27/B27</f>
        <v>0.230888703689673</v>
      </c>
    </row>
  </sheetData>
  <mergeCells count="6">
    <mergeCell ref="A1:G1"/>
    <mergeCell ref="A2:G2"/>
    <mergeCell ref="A5:E5"/>
    <mergeCell ref="A12:E12"/>
    <mergeCell ref="A15:E15"/>
    <mergeCell ref="A23:E23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Roman,Normal"&amp;12&amp;Kffffff&amp;A</oddHeader>
    <oddFooter>&amp;C&amp;"Times New Roman,Normal"&amp;12&amp;KffffffPágina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25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selection pane="topLeft" activeCell="E23" activeCellId="0" sqref="E23"/>
    </sheetView>
  </sheetViews>
  <sheetFormatPr defaultColWidth="8.54296875" defaultRowHeight="15" customHeight="false" zeroHeight="false" outlineLevelRow="0" outlineLevelCol="0"/>
  <cols>
    <col collapsed="false" customWidth="true" hidden="false" outlineLevel="0" max="1" min="1" style="2" width="18"/>
    <col collapsed="false" customWidth="true" hidden="false" outlineLevel="0" max="13" min="2" style="2" width="9"/>
    <col collapsed="false" customWidth="true" hidden="false" outlineLevel="0" max="14" min="14" style="2" width="12"/>
    <col collapsed="false" customWidth="true" hidden="false" outlineLevel="0" max="15" min="15" style="2" width="45"/>
  </cols>
  <sheetData>
    <row r="1" customFormat="false" ht="27.75" hidden="false" customHeight="true" outlineLevel="0" collapsed="false">
      <c r="A1" s="36" t="s">
        <v>62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  <c r="Q1" s="36"/>
    </row>
    <row r="2" customFormat="false" ht="15.75" hidden="false" customHeight="true" outlineLevel="0" collapsed="false">
      <c r="A2" s="37" t="s">
        <v>63</v>
      </c>
      <c r="B2" s="37"/>
      <c r="C2" s="37"/>
      <c r="D2" s="37"/>
      <c r="E2" s="37"/>
      <c r="F2" s="37"/>
      <c r="G2" s="37"/>
      <c r="H2" s="37"/>
      <c r="I2" s="37"/>
      <c r="J2" s="37"/>
      <c r="K2" s="37"/>
      <c r="L2" s="37"/>
      <c r="M2" s="37"/>
      <c r="N2" s="37"/>
      <c r="O2" s="37"/>
      <c r="P2" s="37"/>
      <c r="Q2" s="37"/>
    </row>
    <row r="4" customFormat="false" ht="15" hidden="false" customHeight="false" outlineLevel="0" collapsed="false">
      <c r="A4" s="38" t="s">
        <v>64</v>
      </c>
      <c r="B4" s="38"/>
      <c r="C4" s="38"/>
      <c r="D4" s="38"/>
      <c r="E4" s="38"/>
      <c r="F4" s="38"/>
      <c r="G4" s="38"/>
      <c r="H4" s="38"/>
      <c r="I4" s="38"/>
      <c r="J4" s="38"/>
      <c r="K4" s="38"/>
      <c r="L4" s="38"/>
      <c r="M4" s="38"/>
      <c r="N4" s="38"/>
    </row>
    <row r="5" customFormat="false" ht="15" hidden="false" customHeight="false" outlineLevel="0" collapsed="false">
      <c r="A5" s="39" t="s">
        <v>0</v>
      </c>
      <c r="B5" s="40" t="s">
        <v>13</v>
      </c>
      <c r="C5" s="40" t="s">
        <v>14</v>
      </c>
      <c r="D5" s="40" t="s">
        <v>15</v>
      </c>
      <c r="E5" s="40" t="s">
        <v>16</v>
      </c>
      <c r="F5" s="40" t="s">
        <v>17</v>
      </c>
      <c r="G5" s="40" t="s">
        <v>18</v>
      </c>
      <c r="H5" s="40" t="s">
        <v>19</v>
      </c>
      <c r="I5" s="40" t="s">
        <v>20</v>
      </c>
      <c r="J5" s="40" t="s">
        <v>21</v>
      </c>
      <c r="K5" s="40" t="s">
        <v>22</v>
      </c>
      <c r="L5" s="40" t="s">
        <v>23</v>
      </c>
      <c r="M5" s="40" t="s">
        <v>24</v>
      </c>
      <c r="N5" s="39" t="s">
        <v>65</v>
      </c>
      <c r="O5" s="41" t="s">
        <v>66</v>
      </c>
    </row>
    <row r="6" customFormat="false" ht="30" hidden="false" customHeight="true" outlineLevel="0" collapsed="false">
      <c r="A6" s="42" t="n">
        <v>2022</v>
      </c>
      <c r="B6" s="43" t="n">
        <v>41</v>
      </c>
      <c r="C6" s="43" t="n">
        <v>41</v>
      </c>
      <c r="D6" s="43" t="n">
        <v>41</v>
      </c>
      <c r="E6" s="43" t="n">
        <v>42</v>
      </c>
      <c r="F6" s="43" t="n">
        <v>42</v>
      </c>
      <c r="G6" s="43" t="n">
        <v>42</v>
      </c>
      <c r="H6" s="43" t="n">
        <v>42</v>
      </c>
      <c r="I6" s="43" t="n">
        <v>42</v>
      </c>
      <c r="J6" s="43" t="n">
        <v>42</v>
      </c>
      <c r="K6" s="43" t="n">
        <v>43</v>
      </c>
      <c r="L6" s="43" t="n">
        <v>43</v>
      </c>
      <c r="M6" s="43" t="n">
        <v>43</v>
      </c>
      <c r="N6" s="44" t="n">
        <f aca="false">AVERAGE(B6:M6)</f>
        <v>42</v>
      </c>
      <c r="O6" s="45" t="s">
        <v>67</v>
      </c>
    </row>
    <row r="7" customFormat="false" ht="30" hidden="false" customHeight="true" outlineLevel="0" collapsed="false">
      <c r="A7" s="42" t="n">
        <v>2023</v>
      </c>
      <c r="B7" s="43" t="n">
        <v>46</v>
      </c>
      <c r="C7" s="43" t="n">
        <v>46</v>
      </c>
      <c r="D7" s="43" t="n">
        <v>46</v>
      </c>
      <c r="E7" s="43" t="n">
        <v>46</v>
      </c>
      <c r="F7" s="43" t="n">
        <v>47</v>
      </c>
      <c r="G7" s="43" t="n">
        <v>47</v>
      </c>
      <c r="H7" s="43" t="n">
        <v>47</v>
      </c>
      <c r="I7" s="43" t="n">
        <v>47</v>
      </c>
      <c r="J7" s="43" t="n">
        <v>48</v>
      </c>
      <c r="K7" s="43" t="n">
        <v>48</v>
      </c>
      <c r="L7" s="43" t="n">
        <v>48</v>
      </c>
      <c r="M7" s="43" t="n">
        <v>48</v>
      </c>
      <c r="N7" s="44" t="n">
        <f aca="false">AVERAGE(B7:M7)</f>
        <v>47</v>
      </c>
      <c r="O7" s="45" t="s">
        <v>68</v>
      </c>
    </row>
    <row r="8" customFormat="false" ht="30" hidden="false" customHeight="true" outlineLevel="0" collapsed="false">
      <c r="A8" s="42" t="n">
        <v>2024</v>
      </c>
      <c r="B8" s="43" t="n">
        <v>51</v>
      </c>
      <c r="C8" s="43" t="n">
        <v>51</v>
      </c>
      <c r="D8" s="43" t="n">
        <v>51</v>
      </c>
      <c r="E8" s="43" t="n">
        <v>52</v>
      </c>
      <c r="F8" s="43" t="n">
        <v>52</v>
      </c>
      <c r="G8" s="43" t="n">
        <v>52</v>
      </c>
      <c r="H8" s="43" t="n">
        <v>52</v>
      </c>
      <c r="I8" s="43" t="n">
        <v>52</v>
      </c>
      <c r="J8" s="43" t="n">
        <v>52</v>
      </c>
      <c r="K8" s="43" t="n">
        <v>53</v>
      </c>
      <c r="L8" s="43" t="n">
        <v>53</v>
      </c>
      <c r="M8" s="43" t="n">
        <v>53</v>
      </c>
      <c r="N8" s="44" t="n">
        <f aca="false">AVERAGE(B8:M8)</f>
        <v>52</v>
      </c>
      <c r="O8" s="45" t="s">
        <v>69</v>
      </c>
    </row>
    <row r="10" customFormat="false" ht="15" hidden="false" customHeight="false" outlineLevel="0" collapsed="false">
      <c r="A10" s="38" t="s">
        <v>70</v>
      </c>
      <c r="B10" s="38"/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</row>
    <row r="11" customFormat="false" ht="15" hidden="false" customHeight="false" outlineLevel="0" collapsed="false">
      <c r="A11" s="39" t="s">
        <v>0</v>
      </c>
      <c r="B11" s="40" t="s">
        <v>13</v>
      </c>
      <c r="C11" s="40" t="s">
        <v>14</v>
      </c>
      <c r="D11" s="40" t="s">
        <v>15</v>
      </c>
      <c r="E11" s="40" t="s">
        <v>16</v>
      </c>
      <c r="F11" s="40" t="s">
        <v>17</v>
      </c>
      <c r="G11" s="40" t="s">
        <v>18</v>
      </c>
      <c r="H11" s="40" t="s">
        <v>19</v>
      </c>
      <c r="I11" s="40" t="s">
        <v>20</v>
      </c>
      <c r="J11" s="40" t="s">
        <v>21</v>
      </c>
      <c r="K11" s="40" t="s">
        <v>22</v>
      </c>
      <c r="L11" s="40" t="s">
        <v>23</v>
      </c>
      <c r="M11" s="40" t="s">
        <v>24</v>
      </c>
      <c r="N11" s="39" t="s">
        <v>71</v>
      </c>
      <c r="O11" s="41" t="s">
        <v>66</v>
      </c>
    </row>
    <row r="12" customFormat="false" ht="34.5" hidden="false" customHeight="true" outlineLevel="0" collapsed="false">
      <c r="A12" s="42" t="n">
        <v>2022</v>
      </c>
      <c r="B12" s="46" t="n">
        <v>4000</v>
      </c>
      <c r="C12" s="46" t="n">
        <v>4000</v>
      </c>
      <c r="D12" s="46" t="n">
        <v>4000</v>
      </c>
      <c r="E12" s="46" t="n">
        <v>4000</v>
      </c>
      <c r="F12" s="46" t="n">
        <v>4000</v>
      </c>
      <c r="G12" s="46" t="n">
        <v>4000</v>
      </c>
      <c r="H12" s="46" t="n">
        <v>4000</v>
      </c>
      <c r="I12" s="46" t="n">
        <v>4000</v>
      </c>
      <c r="J12" s="46" t="n">
        <v>4000</v>
      </c>
      <c r="K12" s="46" t="n">
        <v>4000</v>
      </c>
      <c r="L12" s="46" t="n">
        <v>4000</v>
      </c>
      <c r="M12" s="46" t="n">
        <v>4000</v>
      </c>
      <c r="N12" s="47" t="n">
        <f aca="false">AVERAGE(B12:M12)</f>
        <v>4000</v>
      </c>
      <c r="O12" s="45" t="s">
        <v>72</v>
      </c>
    </row>
    <row r="13" customFormat="false" ht="34.5" hidden="false" customHeight="true" outlineLevel="0" collapsed="false">
      <c r="A13" s="42" t="n">
        <v>2023</v>
      </c>
      <c r="B13" s="46" t="n">
        <v>4300</v>
      </c>
      <c r="C13" s="46" t="n">
        <v>4300</v>
      </c>
      <c r="D13" s="46" t="n">
        <v>4300</v>
      </c>
      <c r="E13" s="46" t="n">
        <v>4300</v>
      </c>
      <c r="F13" s="46" t="n">
        <v>4300</v>
      </c>
      <c r="G13" s="46" t="n">
        <v>4300</v>
      </c>
      <c r="H13" s="46" t="n">
        <v>4300</v>
      </c>
      <c r="I13" s="46" t="n">
        <v>4300</v>
      </c>
      <c r="J13" s="46" t="n">
        <v>4300</v>
      </c>
      <c r="K13" s="46" t="n">
        <v>4300</v>
      </c>
      <c r="L13" s="46" t="n">
        <v>4300</v>
      </c>
      <c r="M13" s="46" t="n">
        <v>4300</v>
      </c>
      <c r="N13" s="47" t="n">
        <f aca="false">AVERAGE(B13:M13)</f>
        <v>4300</v>
      </c>
      <c r="O13" s="45" t="s">
        <v>73</v>
      </c>
    </row>
    <row r="14" customFormat="false" ht="34.5" hidden="false" customHeight="true" outlineLevel="0" collapsed="false">
      <c r="A14" s="42" t="n">
        <v>2024</v>
      </c>
      <c r="B14" s="46" t="n">
        <v>4600</v>
      </c>
      <c r="C14" s="46" t="n">
        <v>4600</v>
      </c>
      <c r="D14" s="46" t="n">
        <v>4600</v>
      </c>
      <c r="E14" s="46" t="n">
        <v>4600</v>
      </c>
      <c r="F14" s="46" t="n">
        <v>4600</v>
      </c>
      <c r="G14" s="46" t="n">
        <v>4600</v>
      </c>
      <c r="H14" s="46" t="n">
        <v>4600</v>
      </c>
      <c r="I14" s="46" t="n">
        <v>4600</v>
      </c>
      <c r="J14" s="46" t="n">
        <v>4600</v>
      </c>
      <c r="K14" s="46" t="n">
        <v>4600</v>
      </c>
      <c r="L14" s="46" t="n">
        <v>4600</v>
      </c>
      <c r="M14" s="46" t="n">
        <v>4600</v>
      </c>
      <c r="N14" s="47" t="n">
        <f aca="false">AVERAGE(B14:M14)</f>
        <v>4600</v>
      </c>
      <c r="O14" s="45" t="s">
        <v>74</v>
      </c>
    </row>
    <row r="16" customFormat="false" ht="15" hidden="false" customHeight="false" outlineLevel="0" collapsed="false">
      <c r="A16" s="38" t="s">
        <v>75</v>
      </c>
      <c r="B16" s="38"/>
      <c r="C16" s="38"/>
      <c r="D16" s="38"/>
      <c r="E16" s="38"/>
      <c r="F16" s="38"/>
      <c r="G16" s="38"/>
      <c r="H16" s="38"/>
      <c r="I16" s="38"/>
      <c r="J16" s="38"/>
      <c r="K16" s="38"/>
      <c r="L16" s="38"/>
      <c r="M16" s="38"/>
      <c r="N16" s="38"/>
    </row>
    <row r="17" customFormat="false" ht="18" hidden="false" customHeight="true" outlineLevel="0" collapsed="false">
      <c r="A17" s="42" t="n">
        <v>2022</v>
      </c>
      <c r="B17" s="46" t="n">
        <v>35000</v>
      </c>
      <c r="C17" s="46" t="n">
        <v>35000</v>
      </c>
      <c r="D17" s="46" t="n">
        <v>35000</v>
      </c>
      <c r="E17" s="46" t="n">
        <v>35000</v>
      </c>
      <c r="F17" s="46" t="n">
        <v>35000</v>
      </c>
      <c r="G17" s="46" t="n">
        <v>35000</v>
      </c>
      <c r="H17" s="46" t="n">
        <v>35000</v>
      </c>
      <c r="I17" s="46" t="n">
        <v>35000</v>
      </c>
      <c r="J17" s="46" t="n">
        <v>35000</v>
      </c>
      <c r="K17" s="46" t="n">
        <v>35000</v>
      </c>
      <c r="L17" s="46" t="n">
        <v>35000</v>
      </c>
      <c r="M17" s="46" t="n">
        <v>35000</v>
      </c>
      <c r="N17" s="47" t="n">
        <f aca="false">SUM(B17:M17)</f>
        <v>420000</v>
      </c>
      <c r="O17" s="48" t="s">
        <v>76</v>
      </c>
    </row>
    <row r="18" customFormat="false" ht="18" hidden="false" customHeight="true" outlineLevel="0" collapsed="false">
      <c r="A18" s="42" t="n">
        <v>2023</v>
      </c>
      <c r="B18" s="46" t="n">
        <v>40000</v>
      </c>
      <c r="C18" s="46" t="n">
        <v>40000</v>
      </c>
      <c r="D18" s="46" t="n">
        <v>40000</v>
      </c>
      <c r="E18" s="46" t="n">
        <v>40000</v>
      </c>
      <c r="F18" s="46" t="n">
        <v>40000</v>
      </c>
      <c r="G18" s="46" t="n">
        <v>40000</v>
      </c>
      <c r="H18" s="46" t="n">
        <v>40000</v>
      </c>
      <c r="I18" s="46" t="n">
        <v>40000</v>
      </c>
      <c r="J18" s="46" t="n">
        <v>40000</v>
      </c>
      <c r="K18" s="46" t="n">
        <v>40000</v>
      </c>
      <c r="L18" s="46" t="n">
        <v>40000</v>
      </c>
      <c r="M18" s="46" t="n">
        <v>40000</v>
      </c>
      <c r="N18" s="47" t="n">
        <f aca="false">SUM(B18:M18)</f>
        <v>480000</v>
      </c>
      <c r="O18" s="48" t="s">
        <v>77</v>
      </c>
    </row>
    <row r="19" customFormat="false" ht="18" hidden="false" customHeight="true" outlineLevel="0" collapsed="false">
      <c r="A19" s="42" t="n">
        <v>2024</v>
      </c>
      <c r="B19" s="46" t="n">
        <v>44200</v>
      </c>
      <c r="C19" s="46" t="n">
        <v>44200</v>
      </c>
      <c r="D19" s="46" t="n">
        <v>44200</v>
      </c>
      <c r="E19" s="46" t="n">
        <v>44200</v>
      </c>
      <c r="F19" s="46" t="n">
        <v>44200</v>
      </c>
      <c r="G19" s="46" t="n">
        <v>44200</v>
      </c>
      <c r="H19" s="46" t="n">
        <v>44200</v>
      </c>
      <c r="I19" s="46" t="n">
        <v>44200</v>
      </c>
      <c r="J19" s="46" t="n">
        <v>44200</v>
      </c>
      <c r="K19" s="46" t="n">
        <v>44200</v>
      </c>
      <c r="L19" s="46" t="n">
        <v>44200</v>
      </c>
      <c r="M19" s="46" t="n">
        <v>44200</v>
      </c>
      <c r="N19" s="47" t="n">
        <f aca="false">SUM(B19:M19)</f>
        <v>530400</v>
      </c>
      <c r="O19" s="48" t="s">
        <v>78</v>
      </c>
    </row>
    <row r="21" customFormat="false" ht="15" hidden="false" customHeight="false" outlineLevel="0" collapsed="false">
      <c r="A21" s="49" t="s">
        <v>79</v>
      </c>
      <c r="B21" s="49"/>
      <c r="C21" s="49"/>
      <c r="D21" s="49"/>
      <c r="E21" s="49"/>
      <c r="F21" s="49"/>
    </row>
    <row r="22" customFormat="false" ht="31.9" hidden="false" customHeight="false" outlineLevel="0" collapsed="false">
      <c r="A22" s="50" t="s">
        <v>0</v>
      </c>
      <c r="B22" s="50" t="s">
        <v>80</v>
      </c>
      <c r="C22" s="50" t="s">
        <v>81</v>
      </c>
      <c r="D22" s="50" t="s">
        <v>82</v>
      </c>
      <c r="E22" s="50" t="s">
        <v>83</v>
      </c>
      <c r="F22" s="50" t="s">
        <v>84</v>
      </c>
    </row>
    <row r="23" customFormat="false" ht="15.75" hidden="false" customHeight="true" outlineLevel="0" collapsed="false">
      <c r="A23" s="51" t="n">
        <v>2022</v>
      </c>
      <c r="B23" s="52" t="n">
        <f aca="false">SUMIF(RawData!A:A,"=2022",RawData!F:F)</f>
        <v>1358100</v>
      </c>
      <c r="C23" s="53" t="n">
        <f aca="false">N6</f>
        <v>42</v>
      </c>
      <c r="D23" s="54" t="n">
        <f aca="false">B23/C23</f>
        <v>32335.7142857143</v>
      </c>
      <c r="E23" s="54" t="n">
        <f aca="false">D23/12</f>
        <v>2694.64285714286</v>
      </c>
      <c r="F23" s="55" t="s">
        <v>85</v>
      </c>
    </row>
    <row r="24" customFormat="false" ht="15.75" hidden="false" customHeight="true" outlineLevel="0" collapsed="false">
      <c r="A24" s="51" t="n">
        <v>2023</v>
      </c>
      <c r="B24" s="52" t="n">
        <f aca="false">SUMIF(RawData!A:A,"=2023",RawData!F:F)</f>
        <v>1552200</v>
      </c>
      <c r="C24" s="53" t="n">
        <f aca="false">N7</f>
        <v>47</v>
      </c>
      <c r="D24" s="54" t="n">
        <f aca="false">B24/C24</f>
        <v>33025.5319148936</v>
      </c>
      <c r="E24" s="54" t="n">
        <f aca="false">D24/12</f>
        <v>2752.12765957447</v>
      </c>
      <c r="F24" s="55" t="s">
        <v>85</v>
      </c>
    </row>
    <row r="25" customFormat="false" ht="15.75" hidden="false" customHeight="true" outlineLevel="0" collapsed="false">
      <c r="A25" s="51" t="n">
        <v>2024</v>
      </c>
      <c r="B25" s="52" t="n">
        <f aca="false">SUMIF(RawData!A:A,"=2024",RawData!F:F)</f>
        <v>1713800</v>
      </c>
      <c r="C25" s="53" t="n">
        <f aca="false">N8</f>
        <v>52</v>
      </c>
      <c r="D25" s="54" t="n">
        <f aca="false">B25/C25</f>
        <v>32957.6923076923</v>
      </c>
      <c r="E25" s="54" t="n">
        <f aca="false">D25/12</f>
        <v>2746.47435897436</v>
      </c>
      <c r="F25" s="55" t="s">
        <v>85</v>
      </c>
    </row>
  </sheetData>
  <mergeCells count="6">
    <mergeCell ref="A1:Q1"/>
    <mergeCell ref="A2:Q2"/>
    <mergeCell ref="A4:N4"/>
    <mergeCell ref="A10:N10"/>
    <mergeCell ref="A16:N16"/>
    <mergeCell ref="A21:F21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Roman,Normal"&amp;12&amp;Kffffff&amp;A</oddHeader>
    <oddFooter>&amp;C&amp;"Times New Roman,Normal"&amp;12&amp;KffffffPágina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56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pane xSplit="0" ySplit="4" topLeftCell="A5" activePane="bottomLeft" state="frozen"/>
      <selection pane="topLeft" activeCell="A1" activeCellId="0" sqref="A1"/>
      <selection pane="bottomLeft" activeCell="B17" activeCellId="0" sqref="B17"/>
    </sheetView>
  </sheetViews>
  <sheetFormatPr defaultColWidth="11.53515625" defaultRowHeight="13.8" customHeight="false" zeroHeight="false" outlineLevelRow="0" outlineLevelCol="0"/>
  <cols>
    <col collapsed="false" customWidth="true" hidden="false" outlineLevel="0" max="1" min="1" style="9" width="20.02"/>
    <col collapsed="false" customWidth="false" hidden="false" outlineLevel="0" max="14" min="2" style="9" width="11.53"/>
    <col collapsed="false" customWidth="true" hidden="false" outlineLevel="0" max="15" min="15" style="9" width="12.72"/>
    <col collapsed="false" customWidth="true" hidden="false" outlineLevel="0" max="16" min="16" style="9" width="19.19"/>
    <col collapsed="false" customWidth="true" hidden="false" outlineLevel="0" max="17" min="17" style="2" width="50.86"/>
  </cols>
  <sheetData>
    <row r="1" s="58" customFormat="true" ht="27.1" hidden="false" customHeight="true" outlineLevel="0" collapsed="false">
      <c r="A1" s="56" t="s">
        <v>86</v>
      </c>
      <c r="B1" s="57"/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  <c r="O1" s="57"/>
      <c r="P1" s="57"/>
    </row>
    <row r="2" customFormat="false" ht="13.8" hidden="false" customHeight="false" outlineLevel="0" collapsed="false">
      <c r="A2" s="59" t="s">
        <v>87</v>
      </c>
    </row>
    <row r="4" s="60" customFormat="true" ht="21.85" hidden="false" customHeight="true" outlineLevel="0" collapsed="false">
      <c r="A4" s="60" t="s">
        <v>88</v>
      </c>
      <c r="B4" s="60" t="s">
        <v>13</v>
      </c>
      <c r="C4" s="60" t="s">
        <v>89</v>
      </c>
      <c r="D4" s="60" t="s">
        <v>15</v>
      </c>
      <c r="E4" s="60" t="s">
        <v>16</v>
      </c>
      <c r="F4" s="60" t="s">
        <v>90</v>
      </c>
      <c r="G4" s="60" t="s">
        <v>18</v>
      </c>
      <c r="H4" s="60" t="s">
        <v>19</v>
      </c>
      <c r="I4" s="60" t="s">
        <v>20</v>
      </c>
      <c r="J4" s="60" t="s">
        <v>21</v>
      </c>
      <c r="K4" s="60" t="s">
        <v>22</v>
      </c>
      <c r="L4" s="60" t="s">
        <v>23</v>
      </c>
      <c r="M4" s="60" t="s">
        <v>24</v>
      </c>
      <c r="N4" s="60" t="s">
        <v>91</v>
      </c>
      <c r="O4" s="60" t="s">
        <v>92</v>
      </c>
      <c r="P4" s="60" t="s">
        <v>93</v>
      </c>
      <c r="Q4" s="60" t="s">
        <v>94</v>
      </c>
    </row>
    <row r="5" customFormat="false" ht="13.8" hidden="false" customHeight="false" outlineLevel="0" collapsed="false">
      <c r="A5" s="61" t="s">
        <v>58</v>
      </c>
      <c r="B5" s="62"/>
      <c r="C5" s="62"/>
      <c r="D5" s="62"/>
      <c r="E5" s="62"/>
      <c r="F5" s="62"/>
      <c r="G5" s="62"/>
      <c r="H5" s="62"/>
      <c r="I5" s="62"/>
      <c r="J5" s="62"/>
      <c r="K5" s="62"/>
      <c r="L5" s="62"/>
      <c r="M5" s="62"/>
      <c r="N5" s="62"/>
      <c r="O5" s="62"/>
      <c r="P5" s="62"/>
      <c r="Q5" s="63"/>
      <c r="R5" s="63"/>
      <c r="S5" s="63"/>
      <c r="T5" s="63"/>
      <c r="U5" s="63"/>
      <c r="V5" s="63"/>
      <c r="W5" s="63"/>
      <c r="X5" s="63"/>
    </row>
    <row r="6" customFormat="false" ht="46.95" hidden="false" customHeight="false" outlineLevel="0" collapsed="false">
      <c r="A6" s="64" t="s">
        <v>95</v>
      </c>
      <c r="B6" s="65" t="n">
        <f aca="false">RawData!D26-RawData!I26</f>
        <v>-12000</v>
      </c>
      <c r="C6" s="65" t="n">
        <f aca="false">RawData!D27-RawData!I27</f>
        <v>-13000</v>
      </c>
      <c r="D6" s="65" t="n">
        <f aca="false">RawData!D28-RawData!I28</f>
        <v>-15000</v>
      </c>
      <c r="E6" s="65" t="n">
        <f aca="false">RawData!D29-RawData!I29</f>
        <v>-18000</v>
      </c>
      <c r="F6" s="65" t="n">
        <f aca="false">RawData!D30-RawData!I30</f>
        <v>-19000</v>
      </c>
      <c r="G6" s="65" t="n">
        <f aca="false">RawData!D31-RawData!I31</f>
        <v>-19000</v>
      </c>
      <c r="H6" s="65" t="n">
        <f aca="false">RawData!D32-RawData!I32</f>
        <v>-19000</v>
      </c>
      <c r="I6" s="65" t="n">
        <f aca="false">RawData!D33-RawData!I33</f>
        <v>-18000</v>
      </c>
      <c r="J6" s="65" t="n">
        <f aca="false">RawData!D34-RawData!I34</f>
        <v>-17000</v>
      </c>
      <c r="K6" s="65" t="n">
        <f aca="false">RawData!D35-RawData!I35</f>
        <v>-17000</v>
      </c>
      <c r="L6" s="65" t="n">
        <f aca="false">RawData!D36-RawData!I36</f>
        <v>-16000</v>
      </c>
      <c r="M6" s="65" t="n">
        <f aca="false">RawData!D37-RawData!I37</f>
        <v>-16000</v>
      </c>
      <c r="N6" s="65" t="n">
        <f aca="false">SUM(B6:M6)</f>
        <v>-199000</v>
      </c>
      <c r="O6" s="65" t="n">
        <f aca="false">SUMIF(RawData!A:A,"=2024",RawData!D:D)-SUMIF(RawData!A:A,"=2024",RawData!I:I)</f>
        <v>-199000</v>
      </c>
      <c r="P6" s="66" t="n">
        <f aca="false">IF(SUMIF(RawData!A:A,"=2024",RawData!I:I)=0,0,O6/SUMIF(RawData!A:A,"=2024",RawData!I:I))</f>
        <v>-0.0862068965517241</v>
      </c>
      <c r="Q6" s="67" t="s">
        <v>96</v>
      </c>
    </row>
    <row r="7" customFormat="false" ht="35.5" hidden="false" customHeight="false" outlineLevel="0" collapsed="false">
      <c r="A7" s="64" t="s">
        <v>97</v>
      </c>
      <c r="B7" s="65" t="n">
        <f aca="false">RawData!E26-RawData!J26</f>
        <v>-4100</v>
      </c>
      <c r="C7" s="65" t="n">
        <f aca="false">RawData!$E27-RawData!$J27</f>
        <v>-4100</v>
      </c>
      <c r="D7" s="65" t="n">
        <f aca="false">RawData!$E28-RawData!$J28</f>
        <v>-4100</v>
      </c>
      <c r="E7" s="65" t="n">
        <f aca="false">RawData!$E29-RawData!$J29</f>
        <v>-4100</v>
      </c>
      <c r="F7" s="65" t="n">
        <f aca="false">RawData!$E30-RawData!$J30</f>
        <v>-4100</v>
      </c>
      <c r="G7" s="65" t="n">
        <f aca="false">RawData!$E31-RawData!$J31</f>
        <v>-4100</v>
      </c>
      <c r="H7" s="65" t="n">
        <f aca="false">RawData!$E32-RawData!$J32</f>
        <v>-4100</v>
      </c>
      <c r="I7" s="65" t="n">
        <f aca="false">RawData!$E33-RawData!$J33</f>
        <v>-4100</v>
      </c>
      <c r="J7" s="65" t="n">
        <f aca="false">RawData!$E34-RawData!$J34</f>
        <v>-4100</v>
      </c>
      <c r="K7" s="65" t="n">
        <f aca="false">RawData!$E35-RawData!$J35</f>
        <v>-4100</v>
      </c>
      <c r="L7" s="65" t="n">
        <f aca="false">RawData!$E36-RawData!$J36</f>
        <v>-4100</v>
      </c>
      <c r="M7" s="65" t="n">
        <f aca="false">RawData!$E37-RawData!$J37</f>
        <v>-4100</v>
      </c>
      <c r="N7" s="65" t="n">
        <f aca="false">SUM(B7:M7)</f>
        <v>-49200</v>
      </c>
      <c r="O7" s="65" t="n">
        <f aca="false">SUMIF(RawData!A:A,"=2024",RawData!E:E)-SUMIF(RawData!A:A,"=2024",RawData!J:J)</f>
        <v>-49200</v>
      </c>
      <c r="P7" s="66" t="n">
        <f aca="false">IF(SUMIF(RawData!A:A,"=2024",RawData!J:J)=0,0,O7/SUMIF(RawData!A:A,"=2024",RawData!J:J))</f>
        <v>-0.0848861283643892</v>
      </c>
      <c r="Q7" s="67" t="s">
        <v>98</v>
      </c>
    </row>
    <row r="8" customFormat="false" ht="35.5" hidden="false" customHeight="false" outlineLevel="0" collapsed="false">
      <c r="A8" s="61" t="s">
        <v>99</v>
      </c>
      <c r="B8" s="68" t="n">
        <f aca="false">B6+B7</f>
        <v>-16100</v>
      </c>
      <c r="C8" s="68" t="n">
        <f aca="false">C6+C7</f>
        <v>-17100</v>
      </c>
      <c r="D8" s="68" t="n">
        <f aca="false">D6+D7</f>
        <v>-19100</v>
      </c>
      <c r="E8" s="68" t="n">
        <f aca="false">E6+E7</f>
        <v>-22100</v>
      </c>
      <c r="F8" s="68" t="n">
        <f aca="false">F6+F7</f>
        <v>-23100</v>
      </c>
      <c r="G8" s="68" t="n">
        <f aca="false">G6+G7</f>
        <v>-23100</v>
      </c>
      <c r="H8" s="68" t="n">
        <f aca="false">H6+H7</f>
        <v>-23100</v>
      </c>
      <c r="I8" s="68" t="n">
        <f aca="false">I6+I7</f>
        <v>-22100</v>
      </c>
      <c r="J8" s="68" t="n">
        <f aca="false">J6+J7</f>
        <v>-21100</v>
      </c>
      <c r="K8" s="68" t="n">
        <f aca="false">K6+K7</f>
        <v>-21100</v>
      </c>
      <c r="L8" s="68" t="n">
        <f aca="false">L6+L7</f>
        <v>-20100</v>
      </c>
      <c r="M8" s="68" t="n">
        <f aca="false">M6+M7</f>
        <v>-20100</v>
      </c>
      <c r="N8" s="68" t="n">
        <f aca="false">SUM(B8:M8)</f>
        <v>-248200</v>
      </c>
      <c r="O8" s="68" t="n">
        <f aca="false">SUMIF(RawData!A:A,"=2024",RawData!E:E)-SUMIF(RawData!A:A,"=2024",RawData!J:J)+SUMIF(RawData!A:A,"=2024",RawData!D:D)-SUMIF(RawData!A:A,"=2024",RawData!I:I)</f>
        <v>-248200</v>
      </c>
      <c r="P8" s="69" t="n">
        <f aca="false">O8/(SUMIF(RawData!A:A,"=2024",RawData!J:J)+SUMIF(RawData!A:A,"=2024",RawData!I:I))</f>
        <v>-0.0859418282548476</v>
      </c>
      <c r="Q8" s="67" t="s">
        <v>100</v>
      </c>
    </row>
    <row r="9" s="63" customFormat="true" ht="13.8" hidden="false" customHeight="false" outlineLevel="0" collapsed="false">
      <c r="A9" s="9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2"/>
      <c r="R9" s="2"/>
      <c r="S9" s="2"/>
      <c r="T9" s="2"/>
      <c r="U9" s="2"/>
      <c r="V9" s="2"/>
      <c r="W9" s="2"/>
      <c r="X9" s="2"/>
    </row>
    <row r="11" customFormat="false" ht="13.8" hidden="false" customHeight="false" outlineLevel="0" collapsed="false">
      <c r="A11" s="61" t="s">
        <v>101</v>
      </c>
      <c r="B11" s="62"/>
      <c r="C11" s="62"/>
      <c r="D11" s="62"/>
      <c r="E11" s="62"/>
      <c r="F11" s="62"/>
      <c r="G11" s="62"/>
      <c r="H11" s="62"/>
      <c r="I11" s="62"/>
      <c r="J11" s="62"/>
      <c r="K11" s="62"/>
      <c r="L11" s="62"/>
      <c r="M11" s="62"/>
      <c r="N11" s="62"/>
      <c r="O11" s="62"/>
      <c r="P11" s="62"/>
      <c r="Q11" s="63"/>
      <c r="R11" s="63"/>
      <c r="S11" s="63"/>
      <c r="T11" s="63"/>
      <c r="U11" s="63"/>
      <c r="V11" s="63"/>
      <c r="W11" s="63"/>
      <c r="X11" s="63"/>
    </row>
    <row r="12" customFormat="false" ht="46.95" hidden="false" customHeight="false" outlineLevel="0" collapsed="false">
      <c r="A12" s="64" t="s">
        <v>102</v>
      </c>
      <c r="B12" s="70" t="n">
        <f aca="false">RawData!K26-RawData!F26</f>
        <v>9700</v>
      </c>
      <c r="C12" s="70" t="n">
        <f aca="false">RawData!K27-RawData!F27</f>
        <v>10500</v>
      </c>
      <c r="D12" s="70" t="n">
        <f aca="false">RawData!K28-RawData!F28</f>
        <v>12200</v>
      </c>
      <c r="E12" s="70" t="n">
        <f aca="false">RawData!K29-RawData!F29</f>
        <v>14600</v>
      </c>
      <c r="F12" s="70" t="n">
        <f aca="false">RawData!K30-RawData!F30</f>
        <v>15500</v>
      </c>
      <c r="G12" s="70" t="n">
        <f aca="false">RawData!K31-RawData!F31</f>
        <v>15500</v>
      </c>
      <c r="H12" s="70" t="n">
        <f aca="false">RawData!K32-RawData!F32</f>
        <v>15500</v>
      </c>
      <c r="I12" s="70" t="n">
        <f aca="false">RawData!K33-RawData!F33</f>
        <v>14600</v>
      </c>
      <c r="J12" s="70" t="n">
        <f aca="false">RawData!K34-RawData!F34</f>
        <v>13800</v>
      </c>
      <c r="K12" s="70" t="n">
        <f aca="false">RawData!K35-RawData!F35</f>
        <v>13800</v>
      </c>
      <c r="L12" s="70" t="n">
        <f aca="false">RawData!K36-RawData!F36</f>
        <v>13000</v>
      </c>
      <c r="M12" s="70" t="n">
        <f aca="false">RawData!K37-RawData!F37</f>
        <v>13000</v>
      </c>
      <c r="N12" s="65" t="n">
        <f aca="false">SUM(B12:M12)</f>
        <v>161700</v>
      </c>
      <c r="O12" s="65" t="n">
        <f aca="false">SUMIF(RawData!A:A,"=2024",RawData!K:K)-SUMIF(RawData!A:A,"=2024",RawData!F:F)</f>
        <v>161700</v>
      </c>
      <c r="P12" s="66" t="n">
        <f aca="false">IF(SUMIF(RawData!A:A,"=2024",RawData!K:K)=0,0,O12/SUMIF(RawData!A:A,"=2024",RawData!K:K))</f>
        <v>0.086217008797654</v>
      </c>
      <c r="Q12" s="67" t="s">
        <v>103</v>
      </c>
      <c r="S12" s="71"/>
    </row>
    <row r="13" customFormat="false" ht="24.05" hidden="false" customHeight="false" outlineLevel="0" collapsed="false">
      <c r="A13" s="64" t="s">
        <v>104</v>
      </c>
      <c r="B13" s="70" t="n">
        <f aca="false">RawData!L26-RawData!G26</f>
        <v>1200</v>
      </c>
      <c r="C13" s="70" t="n">
        <f aca="false">RawData!L27-RawData!G27</f>
        <v>1300</v>
      </c>
      <c r="D13" s="70" t="n">
        <f aca="false">RawData!L28-RawData!G28</f>
        <v>1500</v>
      </c>
      <c r="E13" s="70" t="n">
        <f aca="false">RawData!L29-RawData!G29</f>
        <v>1800</v>
      </c>
      <c r="F13" s="70" t="n">
        <f aca="false">RawData!L30-RawData!G30</f>
        <v>1900</v>
      </c>
      <c r="G13" s="70" t="n">
        <f aca="false">RawData!L31-RawData!G31</f>
        <v>1900</v>
      </c>
      <c r="H13" s="70" t="n">
        <f aca="false">RawData!L32-RawData!G32</f>
        <v>1900</v>
      </c>
      <c r="I13" s="70" t="n">
        <f aca="false">RawData!L33-RawData!G33</f>
        <v>1800</v>
      </c>
      <c r="J13" s="70" t="n">
        <f aca="false">RawData!L34-RawData!G34</f>
        <v>1700</v>
      </c>
      <c r="K13" s="70" t="n">
        <f aca="false">RawData!L35-RawData!G35</f>
        <v>1700</v>
      </c>
      <c r="L13" s="70" t="n">
        <f aca="false">RawData!L36-RawData!G36</f>
        <v>1600</v>
      </c>
      <c r="M13" s="70" t="n">
        <f aca="false">RawData!L37-RawData!G37</f>
        <v>1600</v>
      </c>
      <c r="N13" s="65" t="n">
        <f aca="false">SUM(B13:M13)</f>
        <v>19900</v>
      </c>
      <c r="O13" s="65" t="n">
        <f aca="false">SUMIF(RawData!A:A,"=2024",RawData!L:L)-SUMIF(RawData!A:A,"=2024",RawData!G:G)</f>
        <v>19900</v>
      </c>
      <c r="P13" s="66" t="n">
        <f aca="false">IF(SUMIF(RawData!A:A,"=2024",RawData!L:L)=0,0,O13/SUMIF(RawData!A:A,"=2024",RawData!L:L))</f>
        <v>0.0862218370883882</v>
      </c>
      <c r="Q13" s="67" t="s">
        <v>105</v>
      </c>
    </row>
    <row r="14" customFormat="false" ht="24.05" hidden="false" customHeight="false" outlineLevel="0" collapsed="false">
      <c r="A14" s="64" t="s">
        <v>106</v>
      </c>
      <c r="B14" s="70" t="n">
        <f aca="false">RawData!M26-RawData!H26</f>
        <v>600</v>
      </c>
      <c r="C14" s="70" t="n">
        <f aca="false">RawData!M27-RawData!H27</f>
        <v>600</v>
      </c>
      <c r="D14" s="70" t="n">
        <f aca="false">RawData!M28-RawData!H28</f>
        <v>700</v>
      </c>
      <c r="E14" s="70" t="n">
        <f aca="false">RawData!M29-RawData!H29</f>
        <v>900</v>
      </c>
      <c r="F14" s="70" t="n">
        <f aca="false">RawData!M30-RawData!H30</f>
        <v>900</v>
      </c>
      <c r="G14" s="70" t="n">
        <f aca="false">RawData!M31-RawData!H31</f>
        <v>900</v>
      </c>
      <c r="H14" s="70" t="n">
        <f aca="false">RawData!M32-RawData!H32</f>
        <v>900</v>
      </c>
      <c r="I14" s="70" t="n">
        <f aca="false">RawData!M33-RawData!H33</f>
        <v>900</v>
      </c>
      <c r="J14" s="70" t="n">
        <f aca="false">RawData!M34-RawData!H34</f>
        <v>900</v>
      </c>
      <c r="K14" s="70" t="n">
        <f aca="false">RawData!M35-RawData!H35</f>
        <v>900</v>
      </c>
      <c r="L14" s="70" t="n">
        <f aca="false">RawData!M36-RawData!H36</f>
        <v>800</v>
      </c>
      <c r="M14" s="70" t="n">
        <f aca="false">RawData!M37-RawData!H37</f>
        <v>800</v>
      </c>
      <c r="N14" s="65" t="n">
        <f aca="false">SUM(B14:M14)</f>
        <v>9800</v>
      </c>
      <c r="O14" s="65" t="n">
        <f aca="false">SUMIF(RawData!A:A,"=2024",RawData!M:M)-SUMIF(RawData!A:A,"=2024",RawData!H:H)</f>
        <v>9800</v>
      </c>
      <c r="P14" s="66" t="n">
        <f aca="false">IF(SUMIF(RawData!A:A,"=2024",RawData!M:M)=0,0,O14/SUMIF(RawData!A:A,"=2024",RawData!M:M))</f>
        <v>0.0849220103986135</v>
      </c>
      <c r="Q14" s="67" t="s">
        <v>107</v>
      </c>
    </row>
    <row r="15" customFormat="false" ht="13.8" hidden="false" customHeight="false" outlineLevel="0" collapsed="false">
      <c r="A15" s="72" t="s">
        <v>59</v>
      </c>
      <c r="B15" s="68" t="n">
        <f aca="false">B13+B14+B12</f>
        <v>11500</v>
      </c>
      <c r="C15" s="68" t="n">
        <f aca="false">C13+C14+C12</f>
        <v>12400</v>
      </c>
      <c r="D15" s="68" t="n">
        <f aca="false">D13+D14+D12</f>
        <v>14400</v>
      </c>
      <c r="E15" s="68" t="n">
        <f aca="false">E13+E14+E12</f>
        <v>17300</v>
      </c>
      <c r="F15" s="68" t="n">
        <f aca="false">F13+F14+F12</f>
        <v>18300</v>
      </c>
      <c r="G15" s="68" t="n">
        <f aca="false">G13+G14+G12</f>
        <v>18300</v>
      </c>
      <c r="H15" s="68" t="n">
        <f aca="false">H13+H14+H12</f>
        <v>18300</v>
      </c>
      <c r="I15" s="68" t="n">
        <f aca="false">I13+I14+I12</f>
        <v>17300</v>
      </c>
      <c r="J15" s="68" t="n">
        <f aca="false">J13+J14+J12</f>
        <v>16400</v>
      </c>
      <c r="K15" s="68" t="n">
        <f aca="false">K13+K14+K12</f>
        <v>16400</v>
      </c>
      <c r="L15" s="68" t="n">
        <f aca="false">L13+L14+L12</f>
        <v>15400</v>
      </c>
      <c r="M15" s="68" t="n">
        <f aca="false">M13+M14+M12</f>
        <v>15400</v>
      </c>
      <c r="N15" s="68" t="n">
        <f aca="false">SUM(B15:M15)</f>
        <v>191400</v>
      </c>
      <c r="O15" s="68" t="n">
        <f aca="false">SUMIF(RawData!A:A,"=2024",RawData!K:K)-SUMIF(RawData!A:A,"=2024",RawData!F:F)+SUMIF(RawData!A:A,"=2024",RawData!L:L)-SUMIF(RawData!A:A,"=2024",RawData!G:G)+SUMIF(RawData!A:A,"=2024",RawData!M:M)-SUMIF(RawData!A:A,"=2024",RawData!H:H)</f>
        <v>191400</v>
      </c>
      <c r="P15" s="69" t="n">
        <f aca="false">O15/(SUMIF(RawData!A:A,"=2024",RawData!K:K)+SUMIF(RawData!A:A,"=2024",RawData!L:L)+SUMIF(RawData!A:A,"=2024",RawData!M:M))</f>
        <v>0.0861502453076473</v>
      </c>
      <c r="Q15" s="73"/>
    </row>
    <row r="16" customFormat="false" ht="13.8" hidden="false" customHeight="false" outlineLevel="0" collapsed="false">
      <c r="Q16" s="74"/>
    </row>
    <row r="17" customFormat="false" ht="35.5" hidden="false" customHeight="false" outlineLevel="0" collapsed="false">
      <c r="A17" s="75" t="s">
        <v>60</v>
      </c>
      <c r="B17" s="68" t="n">
        <f aca="false">(RawData!D26+RawData!E26-RawData!F26-RawData!G26-RawData!H26)-(RawData!I26+RawData!J26-RawData!K26-RawData!L26-RawData!M26)</f>
        <v>-4600</v>
      </c>
      <c r="C17" s="68" t="n">
        <f aca="false">(RawData!D27+RawData!E27-RawData!F27-RawData!G27-RawData!H27)-(RawData!I27+RawData!J27-RawData!K27-RawData!L27-RawData!M27)</f>
        <v>-4700</v>
      </c>
      <c r="D17" s="68" t="n">
        <f aca="false">(RawData!D28+RawData!E28-RawData!F28-RawData!G28-RawData!H28)-(RawData!I28+RawData!J28-RawData!K28-RawData!L28-RawData!M28)</f>
        <v>-4700</v>
      </c>
      <c r="E17" s="68" t="n">
        <f aca="false">(RawData!D29 + RawData!E29 - RawData!F29 - RawData!G29 - RawData!H29)  - (RawData!I29 + RawData!J29 - RawData!K29 - RawData!L29 - RawData!M29)</f>
        <v>-4800</v>
      </c>
      <c r="F17" s="68" t="n">
        <f aca="false">(RawData!D30 + RawData!E30 - RawData!F30 - RawData!G30 - RawData!H30)  - (RawData!I30 + RawData!J30 - RawData!K30 - RawData!L30 - RawData!M30)</f>
        <v>-4800</v>
      </c>
      <c r="G17" s="68" t="n">
        <f aca="false">(RawData!D31 + RawData!E31 - RawData!F31 - RawData!G31 - RawData!H31)  - (RawData!I31 + RawData!J31 - RawData!K31 - RawData!L31 - RawData!M31)</f>
        <v>-4800</v>
      </c>
      <c r="H17" s="68" t="n">
        <f aca="false">(RawData!D32 + RawData!E32 - RawData!F32 - RawData!G32 - RawData!H32)  - (RawData!I32 + RawData!J32 - RawData!K32 - RawData!L32 - RawData!M32)</f>
        <v>-4800</v>
      </c>
      <c r="I17" s="68" t="n">
        <f aca="false">(RawData!D33 + RawData!E33 - RawData!F33 - RawData!G33 - RawData!H33)  - (RawData!I33 + RawData!J33 - RawData!K33 - RawData!L33 - RawData!M33)</f>
        <v>-4800</v>
      </c>
      <c r="J17" s="68" t="n">
        <f aca="false">(RawData!D34 + RawData!E34 - RawData!F34 - RawData!G34 - RawData!H34)  - (RawData!I34 + RawData!J34 - RawData!K34 - RawData!L34 - RawData!M34)</f>
        <v>-4700</v>
      </c>
      <c r="K17" s="68" t="n">
        <f aca="false">(RawData!D35 + RawData!E35 - RawData!F35 - RawData!G35 - RawData!H35)  - (RawData!I35 + RawData!J35 - RawData!K35 - RawData!L35 - RawData!M35)</f>
        <v>-4700</v>
      </c>
      <c r="L17" s="68" t="n">
        <f aca="false">(RawData!D36 + RawData!E36 - RawData!F36 - RawData!G36 - RawData!H36)  - (RawData!I36 + RawData!J36 - RawData!K36 - RawData!L36 - RawData!M36)</f>
        <v>-4700</v>
      </c>
      <c r="M17" s="68" t="n">
        <f aca="false">(RawData!D37 + RawData!E37 - RawData!F37 - RawData!G37 - RawData!H37)  - (RawData!I37 + RawData!J37 - RawData!K37 - RawData!L37 - RawData!M37)</f>
        <v>-4700</v>
      </c>
      <c r="N17" s="68" t="n">
        <f aca="false">SUM(B17:M17)</f>
        <v>-56800</v>
      </c>
      <c r="O17" s="68" t="n">
        <f aca="false">O8+O15</f>
        <v>-56800</v>
      </c>
      <c r="P17" s="69" t="n">
        <f aca="false">O17/(SUMIF(RawData!A:A,"=2024",RawData!I:I)+SUMIF(RawData!A:A,"=2024",RawData!J:J)-SUMIF(RawData!A:A,"=2024",RawData!L:L)-SUMIF(RawData!A:A,"=2024",RawData!M:M)-SUMIF(RawData!A:A,"=2024",RawData!K:K))</f>
        <v>-0.085246885787183</v>
      </c>
      <c r="Q17" s="76" t="s">
        <v>108</v>
      </c>
    </row>
    <row r="18" customFormat="false" ht="13.8" hidden="false" customHeight="false" outlineLevel="0" collapsed="false">
      <c r="A18" s="9" t="s">
        <v>61</v>
      </c>
      <c r="B18" s="69" t="n">
        <f aca="false">IF((RawData!D26+RawData!E26)=0,0,(RawData!D26+RawData!E26-RawData!F26-RawData!G26-RawData!H26)/(RawData!D26+RawData!E26))-IF((RawData!I26+RawData!J26)=0,0,(RawData!I26+RawData!J26-RawData!K26-RawData!L26-RawData!M26)/(RawData!I26+RawData!J26))</f>
        <v>-3.57837417347406E-005</v>
      </c>
      <c r="C18" s="69" t="n">
        <f aca="false">IF((RawData!D27+RawData!E27)=0,0,(RawData!D27+RawData!E27-RawData!F27-RawData!G27-RawData!H27)/(RawData!D27+RawData!E27)) - IF((RawData!I27+RawData!J27)=0,0,(RawData!I27+RawData!J27-RawData!K27-RawData!L27-RawData!M27)/(RawData!I27+RawData!J27))</f>
        <v>-0.000341371335846497</v>
      </c>
      <c r="D18" s="69" t="n">
        <f aca="false">IF((RawData!D28+RawData!E28)=0,0,(RawData!D28+RawData!E28-RawData!F28-RawData!G28-RawData!H28)/(RawData!D28+RawData!E28)) - IF((RawData!I28+RawData!J28)=0,0,(RawData!I28+RawData!J28-RawData!K28-RawData!L28-RawData!M28)/(RawData!I28+RawData!J28))</f>
        <v>4.13979123055075E-005</v>
      </c>
      <c r="E18" s="69" t="n">
        <f aca="false">IF((RawData!D29+RawData!E29)=0,0,(RawData!D29+RawData!E29-RawData!F29-RawData!G29-RawData!H29)/(RawData!D29+RawData!E29)) - IF((RawData!I29+RawData!J29)=0,0,(RawData!I29+RawData!J29-RawData!K29-RawData!L29-RawData!M29)/(RawData!I29+RawData!J29))</f>
        <v>0.000131416701838</v>
      </c>
      <c r="F18" s="69" t="n">
        <f aca="false">IF((RawData!D30+RawData!E30)=0,0,(RawData!D30+RawData!E30-RawData!F30-RawData!G30-RawData!H30)/(RawData!D30+RawData!E30)) - IF((RawData!I30+RawData!J30)=0,0,(RawData!I30+RawData!J30-RawData!K30-RawData!L30-RawData!M30)/(RawData!I30+RawData!J30))</f>
        <v>0.000268211402712298</v>
      </c>
      <c r="G18" s="69" t="n">
        <f aca="false">IF((RawData!D31+RawData!E31)=0,0,(RawData!D31+RawData!E31-RawData!F31-RawData!G31-RawData!H31)/(RawData!D31+RawData!E31)) - IF((RawData!I31+RawData!J31)=0,0,(RawData!I31+RawData!J31-RawData!K31-RawData!L31-RawData!M31)/(RawData!I31+RawData!J31))</f>
        <v>0.000268211402712298</v>
      </c>
      <c r="H18" s="69" t="n">
        <f aca="false">IF((RawData!D32+RawData!E32)=0,0,(RawData!D32+RawData!E32-RawData!F32-RawData!G32-RawData!H32)/(RawData!D32+RawData!E32)) - IF((RawData!I32+RawData!J32)=0,0,(RawData!I32+RawData!J32-RawData!K32-RawData!L32-RawData!M32)/(RawData!I32+RawData!J32))</f>
        <v>0.000268211402712298</v>
      </c>
      <c r="I18" s="69" t="n">
        <f aca="false">IF((RawData!D33+RawData!E33)=0,0,(RawData!D33+RawData!E33-RawData!F33-RawData!G33-RawData!H33)/(RawData!D33+RawData!E33)) - IF((RawData!I33+RawData!J33)=0,0,(RawData!I33+RawData!J33-RawData!K33-RawData!L33-RawData!M33)/(RawData!I33+RawData!J33))</f>
        <v>0.000131416701838</v>
      </c>
      <c r="J18" s="69" t="n">
        <f aca="false">IF((RawData!D34+RawData!E34)=0,0,(RawData!D34+RawData!E34-RawData!F34-RawData!G34-RawData!H34)/(RawData!D34+RawData!E34)) - IF((RawData!I34+RawData!J34)=0,0,(RawData!I34+RawData!J34-RawData!K34-RawData!L34-RawData!M34)/(RawData!I34+RawData!J34))</f>
        <v>0.000388816885761895</v>
      </c>
      <c r="K18" s="69" t="n">
        <f aca="false">IF((RawData!D35+RawData!E35)=0,0,(RawData!D35+RawData!E35-RawData!F35-RawData!G35-RawData!H35)/(RawData!D35+RawData!E35)) - IF((RawData!I35+RawData!J35)=0,0,(RawData!I35+RawData!J35-RawData!K35-RawData!L35-RawData!M35)/(RawData!I35+RawData!J35))</f>
        <v>0.000388816885761895</v>
      </c>
      <c r="L18" s="69" t="n">
        <f aca="false">IF((RawData!D36+RawData!E36)=0,0,(RawData!D36+RawData!E36-RawData!F36-RawData!G36-RawData!H36)/(RawData!D36+RawData!E36)) - IF((RawData!I36+RawData!J36)=0,0,(RawData!I36+RawData!J36-RawData!K36-RawData!L36-RawData!M36)/(RawData!I36+RawData!J36))</f>
        <v>0.000203768130664361</v>
      </c>
      <c r="M18" s="69" t="n">
        <f aca="false">IF((RawData!D37+RawData!E37)=0,0,(RawData!D37+RawData!E37-RawData!F37-RawData!G37-RawData!H37)/(RawData!D37+RawData!E37)) - IF((RawData!I37+RawData!J37)=0,0,(RawData!I37+RawData!J37-RawData!K37-RawData!L37-RawData!M37)/(RawData!I37+RawData!J37))</f>
        <v>0.000203768130664361</v>
      </c>
      <c r="N18" s="69" t="n">
        <f aca="false">(SUMIF(RawData!A:A,2024,RawData!D:D)+SUMIF(RawData!A:A,2024,RawData!E:E)-SUMIF(RawData!A:A,2024,RawData!F:F)-SUMIF(RawData!A:A,2024,RawData!G:G)-SUMIF(RawData!A:A,2024,RawData!H:H))/(SUMIF(RawData!A:A,2024,RawData!D:D)+SUMIF(RawData!A:A,2024,RawData!E:E))-((SUMIF(RawData!A:A,2024,RawData!I:I)+SUMIF(RawData!A:A,2024,RawData!J:J)-SUMIF(RawData!A:A,2024,RawData!K:K)-SUMIF(RawData!A:A,2024,RawData!L:L)-SUMIF(RawData!A:A,2024,RawData!M:M))/(SUMIF(RawData!A:A,2024,RawData!I:I)+SUMIF(RawData!A:A,2024,RawData!J:J)))</f>
        <v>0.000175407290781499</v>
      </c>
      <c r="O18" s="69"/>
      <c r="P18" s="69"/>
      <c r="Q18" s="77"/>
    </row>
    <row r="19" customFormat="false" ht="13.8" hidden="false" customHeight="false" outlineLevel="0" collapsed="false">
      <c r="A19" s="9" t="s">
        <v>109</v>
      </c>
      <c r="B19" s="9" t="n">
        <f aca="false">B17-B15-B8</f>
        <v>0</v>
      </c>
      <c r="C19" s="9" t="n">
        <f aca="false">C17-C15-C8</f>
        <v>0</v>
      </c>
      <c r="D19" s="9" t="n">
        <f aca="false">D17-D15-D8</f>
        <v>0</v>
      </c>
      <c r="E19" s="9" t="n">
        <f aca="false">E17-E15-E8</f>
        <v>0</v>
      </c>
      <c r="F19" s="9" t="n">
        <f aca="false">F17-F15-F8</f>
        <v>0</v>
      </c>
      <c r="G19" s="9" t="n">
        <f aca="false">G17-G15-G8</f>
        <v>0</v>
      </c>
      <c r="H19" s="9" t="n">
        <f aca="false">H17-H15-H8</f>
        <v>0</v>
      </c>
      <c r="I19" s="9" t="n">
        <f aca="false">I17-I15-I8</f>
        <v>0</v>
      </c>
      <c r="J19" s="9" t="n">
        <f aca="false">J17-J15-J8</f>
        <v>0</v>
      </c>
      <c r="K19" s="9" t="n">
        <f aca="false">K17-K15-K8</f>
        <v>0</v>
      </c>
      <c r="L19" s="9" t="n">
        <f aca="false">L17-L15-L8</f>
        <v>0</v>
      </c>
      <c r="M19" s="9" t="n">
        <f aca="false">M17-M15-M8</f>
        <v>0</v>
      </c>
      <c r="N19" s="9" t="n">
        <f aca="false">N17-N15-N8</f>
        <v>0</v>
      </c>
      <c r="O19" s="9" t="n">
        <f aca="false">O17-O15-O8</f>
        <v>0</v>
      </c>
      <c r="P19" s="78"/>
      <c r="R19" s="2" t="s">
        <v>110</v>
      </c>
      <c r="S19" s="2"/>
      <c r="T19" s="2"/>
      <c r="U19" s="2"/>
    </row>
    <row r="20" customFormat="false" ht="13.8" hidden="false" customHeight="false" outlineLevel="0" collapsed="false">
      <c r="Q20" s="79" t="s">
        <v>111</v>
      </c>
    </row>
    <row r="21" customFormat="false" ht="13.8" hidden="false" customHeight="false" outlineLevel="0" collapsed="false">
      <c r="P21" s="80"/>
      <c r="Q21" s="71" t="s">
        <v>112</v>
      </c>
    </row>
    <row r="22" customFormat="false" ht="13.8" hidden="false" customHeight="false" outlineLevel="0" collapsed="false">
      <c r="A22" s="41" t="s">
        <v>1</v>
      </c>
      <c r="B22" s="39" t="s">
        <v>113</v>
      </c>
      <c r="C22" s="81" t="s">
        <v>114</v>
      </c>
      <c r="D22" s="82" t="s">
        <v>115</v>
      </c>
      <c r="T22" s="2"/>
    </row>
    <row r="23" customFormat="false" ht="13.8" hidden="false" customHeight="false" outlineLevel="0" collapsed="false">
      <c r="A23" s="9" t="s">
        <v>116</v>
      </c>
      <c r="B23" s="9" t="n">
        <f aca="false">RawData!D26+RawData!E26</f>
        <v>171400</v>
      </c>
      <c r="C23" s="9" t="n">
        <f aca="false">RawData!I26+RawData!J26</f>
        <v>187500</v>
      </c>
      <c r="D23" s="9" t="n">
        <f aca="false">C23-B23</f>
        <v>16100</v>
      </c>
      <c r="W23" s="2"/>
      <c r="X23" s="2"/>
    </row>
    <row r="24" customFormat="false" ht="13.8" hidden="false" customHeight="false" outlineLevel="0" collapsed="false">
      <c r="A24" s="9" t="s">
        <v>117</v>
      </c>
      <c r="B24" s="9" t="n">
        <f aca="false">RawData!D27+RawData!E27</f>
        <v>182000</v>
      </c>
      <c r="C24" s="9" t="n">
        <f aca="false">RawData!I27+RawData!J27</f>
        <v>199100</v>
      </c>
      <c r="D24" s="9" t="n">
        <f aca="false">C24-B24</f>
        <v>17100</v>
      </c>
      <c r="W24" s="2"/>
    </row>
    <row r="25" customFormat="false" ht="13.8" hidden="false" customHeight="false" outlineLevel="0" collapsed="false">
      <c r="A25" s="9" t="s">
        <v>118</v>
      </c>
      <c r="B25" s="9" t="n">
        <f aca="false">RawData!D28+RawData!E28</f>
        <v>203200</v>
      </c>
      <c r="C25" s="9" t="n">
        <f aca="false">RawData!I28+RawData!J28</f>
        <v>222300</v>
      </c>
      <c r="D25" s="9" t="n">
        <f aca="false">C25-B25</f>
        <v>19100</v>
      </c>
      <c r="T25" s="2"/>
    </row>
    <row r="26" customFormat="false" ht="13.8" hidden="false" customHeight="false" outlineLevel="0" collapsed="false">
      <c r="A26" s="9" t="s">
        <v>119</v>
      </c>
      <c r="B26" s="9" t="n">
        <f aca="false">RawData!D29+RawData!E29</f>
        <v>235000</v>
      </c>
      <c r="C26" s="9" t="n">
        <f aca="false">RawData!I29+RawData!J29</f>
        <v>257100</v>
      </c>
      <c r="D26" s="9" t="n">
        <f aca="false">C26-B26</f>
        <v>22100</v>
      </c>
      <c r="T26" s="2"/>
    </row>
    <row r="27" customFormat="false" ht="13.8" hidden="false" customHeight="false" outlineLevel="0" collapsed="false">
      <c r="A27" s="9" t="s">
        <v>120</v>
      </c>
      <c r="B27" s="9" t="n">
        <f aca="false">RawData!D30+RawData!E30</f>
        <v>245600</v>
      </c>
      <c r="C27" s="9" t="n">
        <f aca="false">RawData!I30+RawData!J30</f>
        <v>268700</v>
      </c>
      <c r="D27" s="9" t="n">
        <f aca="false">C27-B27</f>
        <v>23100</v>
      </c>
      <c r="T27" s="2"/>
    </row>
    <row r="28" customFormat="false" ht="13.8" hidden="false" customHeight="false" outlineLevel="0" collapsed="false">
      <c r="A28" s="9" t="s">
        <v>121</v>
      </c>
      <c r="B28" s="9" t="n">
        <f aca="false">RawData!D31+RawData!E31</f>
        <v>245600</v>
      </c>
      <c r="C28" s="9" t="n">
        <f aca="false">RawData!I31+RawData!J31</f>
        <v>268700</v>
      </c>
      <c r="D28" s="9" t="n">
        <f aca="false">C28-B28</f>
        <v>23100</v>
      </c>
      <c r="W28" s="2"/>
      <c r="X28" s="2"/>
    </row>
    <row r="29" customFormat="false" ht="13.8" hidden="false" customHeight="false" outlineLevel="0" collapsed="false">
      <c r="A29" s="9" t="s">
        <v>122</v>
      </c>
      <c r="B29" s="9" t="n">
        <f aca="false">RawData!D32+RawData!E32</f>
        <v>245600</v>
      </c>
      <c r="C29" s="9" t="n">
        <f aca="false">RawData!I32+RawData!J32</f>
        <v>268700</v>
      </c>
      <c r="D29" s="9" t="n">
        <f aca="false">C29-B29</f>
        <v>23100</v>
      </c>
      <c r="W29" s="2"/>
      <c r="X29" s="2"/>
    </row>
    <row r="30" customFormat="false" ht="13.8" hidden="false" customHeight="false" outlineLevel="0" collapsed="false">
      <c r="A30" s="9" t="s">
        <v>123</v>
      </c>
      <c r="B30" s="9" t="n">
        <f aca="false">RawData!D33+RawData!E33</f>
        <v>235000</v>
      </c>
      <c r="C30" s="9" t="n">
        <f aca="false">RawData!I33+RawData!J33</f>
        <v>257100</v>
      </c>
      <c r="D30" s="9" t="n">
        <f aca="false">C30-B30</f>
        <v>22100</v>
      </c>
      <c r="W30" s="2"/>
    </row>
    <row r="31" customFormat="false" ht="13.8" hidden="false" customHeight="false" outlineLevel="0" collapsed="false">
      <c r="A31" s="9" t="s">
        <v>124</v>
      </c>
      <c r="B31" s="9" t="n">
        <f aca="false">RawData!D34+RawData!E34</f>
        <v>224400</v>
      </c>
      <c r="C31" s="9" t="n">
        <f aca="false">RawData!I34+RawData!J34</f>
        <v>245500</v>
      </c>
      <c r="D31" s="9" t="n">
        <f aca="false">C31-B31</f>
        <v>21100</v>
      </c>
      <c r="T31" s="2"/>
    </row>
    <row r="32" customFormat="false" ht="13.8" hidden="false" customHeight="false" outlineLevel="0" collapsed="false">
      <c r="A32" s="9" t="s">
        <v>125</v>
      </c>
      <c r="B32" s="9" t="n">
        <f aca="false">RawData!D35+RawData!E35</f>
        <v>224400</v>
      </c>
      <c r="C32" s="9" t="n">
        <f aca="false">RawData!I35+RawData!J35</f>
        <v>245500</v>
      </c>
      <c r="D32" s="9" t="n">
        <f aca="false">C32-B32</f>
        <v>21100</v>
      </c>
      <c r="Q32" s="2" t="s">
        <v>126</v>
      </c>
    </row>
    <row r="33" customFormat="false" ht="13.8" hidden="false" customHeight="false" outlineLevel="0" collapsed="false">
      <c r="A33" s="9" t="s">
        <v>127</v>
      </c>
      <c r="B33" s="9" t="n">
        <f aca="false">RawData!D36+RawData!E36</f>
        <v>213800</v>
      </c>
      <c r="C33" s="9" t="n">
        <f aca="false">RawData!I36+RawData!J36</f>
        <v>233900</v>
      </c>
      <c r="D33" s="9" t="n">
        <f aca="false">C33-B33</f>
        <v>20100</v>
      </c>
      <c r="Q33" s="2" t="s">
        <v>128</v>
      </c>
    </row>
    <row r="34" customFormat="false" ht="13.8" hidden="false" customHeight="false" outlineLevel="0" collapsed="false">
      <c r="A34" s="9" t="s">
        <v>129</v>
      </c>
      <c r="B34" s="9" t="n">
        <f aca="false">RawData!D37+RawData!E37</f>
        <v>213800</v>
      </c>
      <c r="C34" s="9" t="n">
        <f aca="false">RawData!I37+RawData!J37</f>
        <v>233900</v>
      </c>
      <c r="D34" s="9" t="n">
        <f aca="false">C34-B34</f>
        <v>20100</v>
      </c>
      <c r="Q34" s="2" t="s">
        <v>112</v>
      </c>
    </row>
    <row r="35" customFormat="false" ht="13.8" hidden="false" customHeight="false" outlineLevel="0" collapsed="false">
      <c r="T35" s="2"/>
      <c r="U35" s="2"/>
    </row>
    <row r="36" customFormat="false" ht="13.8" hidden="false" customHeight="false" outlineLevel="0" collapsed="false">
      <c r="A36" s="41" t="s">
        <v>1</v>
      </c>
      <c r="B36" s="39" t="s">
        <v>130</v>
      </c>
      <c r="C36" s="81" t="s">
        <v>131</v>
      </c>
      <c r="D36" s="82" t="s">
        <v>115</v>
      </c>
      <c r="T36" s="2"/>
    </row>
    <row r="37" customFormat="false" ht="13.8" hidden="false" customHeight="false" outlineLevel="0" collapsed="false">
      <c r="A37" s="9" t="s">
        <v>116</v>
      </c>
      <c r="B37" s="9" t="n">
        <f aca="false">RawData!F26+RawData!G26+RawData!H26</f>
        <v>122500</v>
      </c>
      <c r="C37" s="9" t="n">
        <f aca="false">RawData!K26+RawData!L26+RawData!M26</f>
        <v>134000</v>
      </c>
      <c r="D37" s="9" t="n">
        <f aca="false">C37-B37</f>
        <v>11500</v>
      </c>
      <c r="Q37" s="2" t="s">
        <v>126</v>
      </c>
    </row>
    <row r="38" customFormat="false" ht="13.8" hidden="false" customHeight="false" outlineLevel="0" collapsed="false">
      <c r="A38" s="9" t="s">
        <v>117</v>
      </c>
      <c r="B38" s="9" t="n">
        <f aca="false">RawData!F27+RawData!G27+RawData!H27</f>
        <v>132700</v>
      </c>
      <c r="C38" s="9" t="n">
        <f aca="false">RawData!K27+RawData!L27+RawData!M27</f>
        <v>145100</v>
      </c>
      <c r="D38" s="9" t="n">
        <f aca="false">C38-B38</f>
        <v>12400</v>
      </c>
      <c r="Q38" s="2" t="s">
        <v>132</v>
      </c>
    </row>
    <row r="39" customFormat="false" ht="13.8" hidden="false" customHeight="false" outlineLevel="0" collapsed="false">
      <c r="A39" s="9" t="s">
        <v>118</v>
      </c>
      <c r="B39" s="9" t="n">
        <f aca="false">RawData!F28+RawData!G28+RawData!H28</f>
        <v>153100</v>
      </c>
      <c r="C39" s="9" t="n">
        <f aca="false">RawData!K28+RawData!L28+RawData!M28</f>
        <v>167500</v>
      </c>
      <c r="D39" s="9" t="n">
        <f aca="false">C39-B39</f>
        <v>14400</v>
      </c>
      <c r="Q39" s="2" t="s">
        <v>112</v>
      </c>
    </row>
    <row r="40" customFormat="false" ht="13.8" hidden="false" customHeight="false" outlineLevel="0" collapsed="false">
      <c r="A40" s="9" t="s">
        <v>119</v>
      </c>
      <c r="B40" s="9" t="n">
        <f aca="false">RawData!F29+RawData!G29+RawData!H29</f>
        <v>183600</v>
      </c>
      <c r="C40" s="9" t="n">
        <f aca="false">RawData!K29+RawData!L29+RawData!M29</f>
        <v>200900</v>
      </c>
      <c r="D40" s="9" t="n">
        <f aca="false">C40-B40</f>
        <v>17300</v>
      </c>
      <c r="T40" s="2"/>
    </row>
    <row r="41" customFormat="false" ht="13.8" hidden="false" customHeight="false" outlineLevel="0" collapsed="false">
      <c r="A41" s="9" t="s">
        <v>120</v>
      </c>
      <c r="B41" s="9" t="n">
        <f aca="false">RawData!F30+RawData!G30+RawData!H30</f>
        <v>193800</v>
      </c>
      <c r="C41" s="9" t="n">
        <f aca="false">RawData!K30+RawData!L30+RawData!M30</f>
        <v>212100</v>
      </c>
      <c r="D41" s="9" t="n">
        <f aca="false">C41-B41</f>
        <v>18300</v>
      </c>
      <c r="W41" s="2"/>
      <c r="X41" s="2"/>
    </row>
    <row r="42" customFormat="false" ht="13.8" hidden="false" customHeight="false" outlineLevel="0" collapsed="false">
      <c r="A42" s="9" t="s">
        <v>121</v>
      </c>
      <c r="B42" s="9" t="n">
        <f aca="false">RawData!F31+RawData!G31+RawData!H31</f>
        <v>193800</v>
      </c>
      <c r="C42" s="9" t="n">
        <f aca="false">RawData!K31+RawData!L31+RawData!M31</f>
        <v>212100</v>
      </c>
      <c r="D42" s="9" t="n">
        <f aca="false">C42-B42</f>
        <v>18300</v>
      </c>
      <c r="W42" s="2"/>
    </row>
    <row r="43" customFormat="false" ht="13.8" hidden="false" customHeight="false" outlineLevel="0" collapsed="false">
      <c r="A43" s="9" t="s">
        <v>122</v>
      </c>
      <c r="B43" s="9" t="n">
        <f aca="false">RawData!F32+RawData!G32+RawData!H32</f>
        <v>193800</v>
      </c>
      <c r="C43" s="9" t="n">
        <f aca="false">RawData!K32+RawData!L32+RawData!M32</f>
        <v>212100</v>
      </c>
      <c r="D43" s="9" t="n">
        <f aca="false">C43-B43</f>
        <v>18300</v>
      </c>
      <c r="T43" s="2"/>
    </row>
    <row r="44" customFormat="false" ht="13.8" hidden="false" customHeight="false" outlineLevel="0" collapsed="false">
      <c r="A44" s="9" t="s">
        <v>123</v>
      </c>
      <c r="B44" s="9" t="n">
        <f aca="false">RawData!F33+RawData!G33+RawData!H33</f>
        <v>183600</v>
      </c>
      <c r="C44" s="9" t="n">
        <f aca="false">RawData!K33+RawData!L33+RawData!M33</f>
        <v>200900</v>
      </c>
      <c r="D44" s="9" t="n">
        <f aca="false">C44-B44</f>
        <v>17300</v>
      </c>
      <c r="T44" s="2"/>
    </row>
    <row r="45" customFormat="false" ht="13.8" hidden="false" customHeight="false" outlineLevel="0" collapsed="false">
      <c r="A45" s="9" t="s">
        <v>124</v>
      </c>
      <c r="B45" s="9" t="n">
        <f aca="false">RawData!F34+RawData!G34+RawData!H34</f>
        <v>173400</v>
      </c>
      <c r="C45" s="9" t="n">
        <f aca="false">RawData!K34+RawData!L34+RawData!M34</f>
        <v>189800</v>
      </c>
      <c r="D45" s="9" t="n">
        <f aca="false">C45-B45</f>
        <v>16400</v>
      </c>
      <c r="T45" s="2"/>
    </row>
    <row r="46" customFormat="false" ht="13.8" hidden="false" customHeight="false" outlineLevel="0" collapsed="false">
      <c r="A46" s="9" t="s">
        <v>125</v>
      </c>
      <c r="B46" s="9" t="n">
        <f aca="false">RawData!F35+RawData!G35+RawData!H35</f>
        <v>173400</v>
      </c>
      <c r="C46" s="9" t="n">
        <f aca="false">RawData!K35+RawData!L35+RawData!M35</f>
        <v>189800</v>
      </c>
      <c r="D46" s="9" t="n">
        <f aca="false">C46-B46</f>
        <v>16400</v>
      </c>
      <c r="W46" s="2"/>
      <c r="X46" s="2"/>
    </row>
    <row r="47" customFormat="false" ht="13.8" hidden="false" customHeight="false" outlineLevel="0" collapsed="false">
      <c r="A47" s="9" t="s">
        <v>127</v>
      </c>
      <c r="B47" s="9" t="n">
        <f aca="false">RawData!F36+RawData!G36+RawData!H36</f>
        <v>163300</v>
      </c>
      <c r="C47" s="9" t="n">
        <f aca="false">RawData!K36+RawData!L36+RawData!M36</f>
        <v>178700</v>
      </c>
      <c r="D47" s="9" t="n">
        <f aca="false">C47-B47</f>
        <v>15400</v>
      </c>
      <c r="W47" s="2"/>
      <c r="X47" s="2"/>
    </row>
    <row r="48" customFormat="false" ht="13.8" hidden="false" customHeight="false" outlineLevel="0" collapsed="false">
      <c r="A48" s="9" t="s">
        <v>129</v>
      </c>
      <c r="B48" s="9" t="n">
        <f aca="false">RawData!F37+RawData!G37+RawData!H37</f>
        <v>163300</v>
      </c>
      <c r="C48" s="9" t="n">
        <f aca="false">RawData!K37+RawData!L37+RawData!M37</f>
        <v>178700</v>
      </c>
      <c r="D48" s="9" t="n">
        <f aca="false">C48-B48</f>
        <v>15400</v>
      </c>
      <c r="W48" s="2"/>
    </row>
    <row r="49" customFormat="false" ht="13.8" hidden="false" customHeight="false" outlineLevel="0" collapsed="false">
      <c r="T49" s="2"/>
    </row>
    <row r="50" customFormat="false" ht="13.8" hidden="false" customHeight="false" outlineLevel="0" collapsed="false">
      <c r="Q50" s="2" t="s">
        <v>126</v>
      </c>
    </row>
    <row r="51" customFormat="false" ht="13.8" hidden="false" customHeight="false" outlineLevel="0" collapsed="false">
      <c r="Q51" s="2" t="s">
        <v>128</v>
      </c>
    </row>
    <row r="52" customFormat="false" ht="13.8" hidden="false" customHeight="false" outlineLevel="0" collapsed="false">
      <c r="Q52" s="2" t="s">
        <v>112</v>
      </c>
    </row>
    <row r="53" customFormat="false" ht="13.8" hidden="false" customHeight="false" outlineLevel="0" collapsed="false">
      <c r="T53" s="2"/>
      <c r="U53" s="2"/>
    </row>
    <row r="54" customFormat="false" ht="13.8" hidden="false" customHeight="false" outlineLevel="0" collapsed="false">
      <c r="T54" s="2"/>
    </row>
    <row r="55" customFormat="false" ht="13.8" hidden="false" customHeight="false" outlineLevel="0" collapsed="false">
      <c r="Q55" s="2" t="s">
        <v>126</v>
      </c>
    </row>
    <row r="56" customFormat="false" ht="13.8" hidden="false" customHeight="false" outlineLevel="0" collapsed="false">
      <c r="N56" s="9" t="s">
        <v>126</v>
      </c>
    </row>
  </sheetData>
  <conditionalFormatting sqref="B6:P8 N12:P14 B15:P15 N18:P18 C18:L18 N17:O18 P17">
    <cfRule type="cellIs" priority="2" operator="greaterThanOrEqual" aboveAverage="0" equalAverage="0" bottom="0" percent="0" rank="0" text="" dxfId="0">
      <formula>0</formula>
    </cfRule>
    <cfRule type="cellIs" priority="3" operator="lessThan" aboveAverage="0" equalAverage="0" bottom="0" percent="0" rank="0" text="" dxfId="1">
      <formula>0</formula>
    </cfRule>
  </conditionalFormatting>
  <conditionalFormatting sqref="B6:P8 N12:P14 B15:P15 N18:P18 C18:L18 N17:O18 P17">
    <cfRule type="cellIs" priority="4" operator="lessThanOrEqual" aboveAverage="0" equalAverage="0" bottom="0" percent="0" rank="0" text="" dxfId="2">
      <formula>0</formula>
    </cfRule>
  </conditionalFormatting>
  <conditionalFormatting sqref="B12:M14">
    <cfRule type="cellIs" priority="5" operator="greaterThan" aboveAverage="0" equalAverage="0" bottom="0" percent="0" rank="0" text="" dxfId="0">
      <formula>0</formula>
    </cfRule>
    <cfRule type="cellIs" priority="6" operator="lessThan" aboveAverage="0" equalAverage="0" bottom="0" percent="0" rank="0" text="" dxfId="1">
      <formula>0</formula>
    </cfRule>
  </conditionalFormatting>
  <conditionalFormatting sqref="E17:M17 B17">
    <cfRule type="cellIs" priority="7" operator="greaterThanOrEqual" aboveAverage="0" equalAverage="0" bottom="0" percent="0" rank="0" text="" dxfId="0">
      <formula>0</formula>
    </cfRule>
    <cfRule type="cellIs" priority="8" operator="lessThan" aboveAverage="0" equalAverage="0" bottom="0" percent="0" rank="0" text="" dxfId="1">
      <formula>0</formula>
    </cfRule>
  </conditionalFormatting>
  <conditionalFormatting sqref="E17:M17 B17">
    <cfRule type="cellIs" priority="9" operator="lessThanOrEqual" aboveAverage="0" equalAverage="0" bottom="0" percent="0" rank="0" text="" dxfId="2">
      <formula>0</formula>
    </cfRule>
  </conditionalFormatting>
  <conditionalFormatting sqref="C17:D17">
    <cfRule type="cellIs" priority="10" operator="greaterThanOrEqual" aboveAverage="0" equalAverage="0" bottom="0" percent="0" rank="0" text="" dxfId="0">
      <formula>0</formula>
    </cfRule>
    <cfRule type="cellIs" priority="11" operator="lessThan" aboveAverage="0" equalAverage="0" bottom="0" percent="0" rank="0" text="" dxfId="1">
      <formula>0</formula>
    </cfRule>
  </conditionalFormatting>
  <conditionalFormatting sqref="C17:D17">
    <cfRule type="cellIs" priority="12" operator="lessThanOrEqual" aboveAverage="0" equalAverage="0" bottom="0" percent="0" rank="0" text="" dxfId="2">
      <formula>0</formula>
    </cfRule>
  </conditionalFormatting>
  <conditionalFormatting sqref="M18">
    <cfRule type="cellIs" priority="13" operator="greaterThanOrEqual" aboveAverage="0" equalAverage="0" bottom="0" percent="0" rank="0" text="" dxfId="0">
      <formula>0</formula>
    </cfRule>
    <cfRule type="cellIs" priority="14" operator="lessThan" aboveAverage="0" equalAverage="0" bottom="0" percent="0" rank="0" text="" dxfId="1">
      <formula>0</formula>
    </cfRule>
  </conditionalFormatting>
  <conditionalFormatting sqref="M18">
    <cfRule type="cellIs" priority="15" operator="lessThanOrEqual" aboveAverage="0" equalAverage="0" bottom="0" percent="0" rank="0" text="" dxfId="2">
      <formula>0</formula>
    </cfRule>
  </conditionalFormatting>
  <conditionalFormatting sqref="B18">
    <cfRule type="cellIs" priority="16" operator="greaterThanOrEqual" aboveAverage="0" equalAverage="0" bottom="0" percent="0" rank="0" text="" dxfId="0">
      <formula>0</formula>
    </cfRule>
    <cfRule type="cellIs" priority="17" operator="lessThan" aboveAverage="0" equalAverage="0" bottom="0" percent="0" rank="0" text="" dxfId="1">
      <formula>0</formula>
    </cfRule>
  </conditionalFormatting>
  <conditionalFormatting sqref="B18">
    <cfRule type="cellIs" priority="18" operator="lessThanOrEqual" aboveAverage="0" equalAverage="0" bottom="0" percent="0" rank="0" text="" dxfId="2">
      <formula>0</formula>
    </cfRule>
  </conditionalFormatting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Roman,Normal"&amp;12&amp;Kffffff&amp;A</oddHeader>
    <oddFooter>&amp;C&amp;"Times New Roman,Normal"&amp;12&amp;KffffffPágina &amp;P</oddFooter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1048576"/>
  <sheetViews>
    <sheetView showFormulas="false" showGridLines="true" showRowColHeaders="true" showZeros="true" rightToLeft="false" tabSelected="true" showOutlineSymbols="true" defaultGridColor="true" view="normal" topLeftCell="A1" colorId="64" zoomScale="65" zoomScaleNormal="65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B6" activeCellId="0" sqref="B6"/>
    </sheetView>
  </sheetViews>
  <sheetFormatPr defaultColWidth="8.54296875" defaultRowHeight="15" customHeight="false" zeroHeight="false" outlineLevelRow="0" outlineLevelCol="0"/>
  <cols>
    <col collapsed="false" customWidth="true" hidden="false" outlineLevel="0" max="1" min="1" style="2" width="22"/>
    <col collapsed="false" customWidth="true" hidden="false" outlineLevel="0" max="14" min="2" style="2" width="12"/>
    <col collapsed="false" customWidth="true" hidden="false" outlineLevel="0" max="15" min="15" style="2" width="14"/>
    <col collapsed="false" customWidth="true" hidden="false" outlineLevel="0" max="16" min="16" style="2" width="15"/>
  </cols>
  <sheetData>
    <row r="1" customFormat="false" ht="27.75" hidden="false" customHeight="true" outlineLevel="0" collapsed="false">
      <c r="A1" s="36" t="s">
        <v>133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</row>
    <row r="2" customFormat="false" ht="15" hidden="false" customHeight="false" outlineLevel="0" collapsed="false">
      <c r="A2" s="83"/>
      <c r="B2" s="83"/>
      <c r="C2" s="83"/>
      <c r="D2" s="83"/>
      <c r="E2" s="83"/>
      <c r="F2" s="83"/>
      <c r="G2" s="83"/>
      <c r="H2" s="83"/>
      <c r="I2" s="83"/>
      <c r="J2" s="83"/>
      <c r="K2" s="83"/>
      <c r="L2" s="83"/>
      <c r="M2" s="83"/>
      <c r="N2" s="83"/>
      <c r="O2" s="83"/>
      <c r="P2" s="83"/>
    </row>
    <row r="4" customFormat="false" ht="21.75" hidden="false" customHeight="true" outlineLevel="0" collapsed="false">
      <c r="A4" s="84" t="s">
        <v>134</v>
      </c>
      <c r="B4" s="84" t="s">
        <v>13</v>
      </c>
      <c r="C4" s="84" t="s">
        <v>14</v>
      </c>
      <c r="D4" s="84" t="s">
        <v>15</v>
      </c>
      <c r="E4" s="84" t="s">
        <v>16</v>
      </c>
      <c r="F4" s="84" t="s">
        <v>17</v>
      </c>
      <c r="G4" s="84" t="s">
        <v>18</v>
      </c>
      <c r="H4" s="84" t="s">
        <v>19</v>
      </c>
      <c r="I4" s="84" t="s">
        <v>20</v>
      </c>
      <c r="J4" s="84" t="s">
        <v>21</v>
      </c>
      <c r="K4" s="84" t="s">
        <v>22</v>
      </c>
      <c r="L4" s="84" t="s">
        <v>23</v>
      </c>
      <c r="M4" s="84" t="s">
        <v>24</v>
      </c>
      <c r="N4" s="84" t="s">
        <v>91</v>
      </c>
      <c r="O4" s="84" t="s">
        <v>135</v>
      </c>
    </row>
    <row r="5" customFormat="false" ht="18" hidden="false" customHeight="true" outlineLevel="0" collapsed="false">
      <c r="A5" s="85" t="s">
        <v>136</v>
      </c>
      <c r="B5" s="86" t="n">
        <f aca="false">Drivers!B8*Drivers!B14</f>
        <v>234600</v>
      </c>
      <c r="C5" s="86" t="n">
        <f aca="false">Drivers!C8*Drivers!C14</f>
        <v>234600</v>
      </c>
      <c r="D5" s="86" t="n">
        <f aca="false">Drivers!D8*Drivers!D14</f>
        <v>234600</v>
      </c>
      <c r="E5" s="86" t="n">
        <f aca="false">Drivers!E8*Drivers!E14</f>
        <v>239200</v>
      </c>
      <c r="F5" s="86" t="n">
        <f aca="false">Drivers!F8*Drivers!F14</f>
        <v>239200</v>
      </c>
      <c r="G5" s="86" t="n">
        <f aca="false">Drivers!G8*Drivers!G14</f>
        <v>239200</v>
      </c>
      <c r="H5" s="86" t="n">
        <f aca="false">Drivers!H8*Drivers!H14</f>
        <v>239200</v>
      </c>
      <c r="I5" s="86" t="n">
        <f aca="false">Drivers!I8*Drivers!I14</f>
        <v>239200</v>
      </c>
      <c r="J5" s="86" t="n">
        <f aca="false">Drivers!J8*Drivers!J14</f>
        <v>239200</v>
      </c>
      <c r="K5" s="86" t="n">
        <f aca="false">Drivers!K8*Drivers!K14</f>
        <v>243800</v>
      </c>
      <c r="L5" s="86" t="n">
        <f aca="false">Drivers!L8*Drivers!L14</f>
        <v>243800</v>
      </c>
      <c r="M5" s="86" t="n">
        <f aca="false">Drivers!M8*Drivers!M14</f>
        <v>243800</v>
      </c>
      <c r="N5" s="87" t="n">
        <f aca="false">SUM(B5:M5)</f>
        <v>2870400</v>
      </c>
      <c r="O5" s="88" t="n">
        <f aca="false">IF(N7=0,0,N5/N7)</f>
        <v>0.844036697247707</v>
      </c>
    </row>
    <row r="6" customFormat="false" ht="18" hidden="false" customHeight="true" outlineLevel="0" collapsed="false">
      <c r="A6" s="85" t="s">
        <v>137</v>
      </c>
      <c r="B6" s="89" t="n">
        <f aca="false">Drivers!B19</f>
        <v>44200</v>
      </c>
      <c r="C6" s="89" t="n">
        <f aca="false">Drivers!C19</f>
        <v>44200</v>
      </c>
      <c r="D6" s="89" t="n">
        <f aca="false">Drivers!D19</f>
        <v>44200</v>
      </c>
      <c r="E6" s="89" t="n">
        <f aca="false">Drivers!E19</f>
        <v>44200</v>
      </c>
      <c r="F6" s="89" t="n">
        <f aca="false">Drivers!F19</f>
        <v>44200</v>
      </c>
      <c r="G6" s="89" t="n">
        <f aca="false">Drivers!G19</f>
        <v>44200</v>
      </c>
      <c r="H6" s="89" t="n">
        <f aca="false">Drivers!H19</f>
        <v>44200</v>
      </c>
      <c r="I6" s="89" t="n">
        <f aca="false">Drivers!I19</f>
        <v>44200</v>
      </c>
      <c r="J6" s="89" t="n">
        <f aca="false">Drivers!J19</f>
        <v>44200</v>
      </c>
      <c r="K6" s="89" t="n">
        <f aca="false">Drivers!K19</f>
        <v>44200</v>
      </c>
      <c r="L6" s="89" t="n">
        <f aca="false">Drivers!L19</f>
        <v>44200</v>
      </c>
      <c r="M6" s="89" t="n">
        <f aca="false">Drivers!M19</f>
        <v>44200</v>
      </c>
      <c r="N6" s="87" t="n">
        <f aca="false">SUM(B6:M6)</f>
        <v>530400</v>
      </c>
      <c r="O6" s="88" t="n">
        <f aca="false">IF(N7=0,0,N6/N7)</f>
        <v>0.155963302752294</v>
      </c>
    </row>
    <row r="7" customFormat="false" ht="18" hidden="false" customHeight="true" outlineLevel="0" collapsed="false">
      <c r="A7" s="90" t="s">
        <v>99</v>
      </c>
      <c r="B7" s="91" t="n">
        <f aca="false">B5+B6</f>
        <v>278800</v>
      </c>
      <c r="C7" s="91" t="n">
        <f aca="false">C5+C6</f>
        <v>278800</v>
      </c>
      <c r="D7" s="91" t="n">
        <f aca="false">D5+D6</f>
        <v>278800</v>
      </c>
      <c r="E7" s="91" t="n">
        <f aca="false">E5+E6</f>
        <v>283400</v>
      </c>
      <c r="F7" s="91" t="n">
        <f aca="false">F5+F6</f>
        <v>283400</v>
      </c>
      <c r="G7" s="91" t="n">
        <f aca="false">G5+G6</f>
        <v>283400</v>
      </c>
      <c r="H7" s="91" t="n">
        <f aca="false">H5+H6</f>
        <v>283400</v>
      </c>
      <c r="I7" s="91" t="n">
        <f aca="false">I5+I6</f>
        <v>283400</v>
      </c>
      <c r="J7" s="91" t="n">
        <f aca="false">J5+J6</f>
        <v>283400</v>
      </c>
      <c r="K7" s="91" t="n">
        <f aca="false">K5+K6</f>
        <v>288000</v>
      </c>
      <c r="L7" s="91" t="n">
        <f aca="false">L5+L6</f>
        <v>288000</v>
      </c>
      <c r="M7" s="91" t="n">
        <f aca="false">M5+M6</f>
        <v>288000</v>
      </c>
      <c r="N7" s="92" t="n">
        <f aca="false">SUM(B7:M7)</f>
        <v>3400800</v>
      </c>
      <c r="O7" s="93" t="n">
        <f aca="false">IF(N7=0,0,N7/N7)</f>
        <v>1</v>
      </c>
    </row>
    <row r="8" customFormat="false" ht="18" hidden="false" customHeight="true" outlineLevel="0" collapsed="false">
      <c r="A8" s="85"/>
      <c r="B8" s="94"/>
      <c r="C8" s="94"/>
      <c r="D8" s="94"/>
      <c r="E8" s="94"/>
      <c r="F8" s="94"/>
      <c r="G8" s="94"/>
      <c r="H8" s="94"/>
      <c r="I8" s="94"/>
      <c r="J8" s="94"/>
      <c r="K8" s="94"/>
      <c r="L8" s="94"/>
      <c r="M8" s="94"/>
      <c r="N8" s="95"/>
      <c r="O8" s="95"/>
    </row>
    <row r="9" customFormat="false" ht="18" hidden="false" customHeight="true" outlineLevel="0" collapsed="false">
      <c r="A9" s="85" t="s">
        <v>138</v>
      </c>
      <c r="B9" s="89" t="n">
        <f aca="false">Drivers!B8*Drivers!E25</f>
        <v>140070.192307692</v>
      </c>
      <c r="C9" s="89" t="n">
        <f aca="false">Drivers!C8*Drivers!E25</f>
        <v>140070.192307692</v>
      </c>
      <c r="D9" s="89" t="n">
        <f aca="false">Drivers!D8*Drivers!E25</f>
        <v>140070.192307692</v>
      </c>
      <c r="E9" s="89" t="n">
        <f aca="false">Drivers!E8*Drivers!E25</f>
        <v>142816.666666667</v>
      </c>
      <c r="F9" s="89" t="n">
        <f aca="false">Drivers!F8*Drivers!E25</f>
        <v>142816.666666667</v>
      </c>
      <c r="G9" s="89" t="n">
        <f aca="false">Drivers!G8*Drivers!E25</f>
        <v>142816.666666667</v>
      </c>
      <c r="H9" s="89" t="n">
        <f aca="false">Drivers!H8*Drivers!E25</f>
        <v>142816.666666667</v>
      </c>
      <c r="I9" s="89" t="n">
        <f aca="false">Drivers!I8*Drivers!E25</f>
        <v>142816.666666667</v>
      </c>
      <c r="J9" s="89" t="n">
        <f aca="false">Drivers!J8*Drivers!E25</f>
        <v>142816.666666667</v>
      </c>
      <c r="K9" s="89" t="n">
        <f aca="false">Drivers!K8*Drivers!E25</f>
        <v>145563.141025641</v>
      </c>
      <c r="L9" s="89" t="n">
        <f aca="false">Drivers!L8*Drivers!E25</f>
        <v>145563.141025641</v>
      </c>
      <c r="M9" s="89" t="n">
        <f aca="false">Drivers!M8*Drivers!E25</f>
        <v>145563.141025641</v>
      </c>
      <c r="N9" s="87" t="n">
        <f aca="false">SUM(B9:M9)</f>
        <v>1713800</v>
      </c>
      <c r="O9" s="88" t="n">
        <f aca="false">IF(N7=0,0,N9/N7)</f>
        <v>0.503940249353093</v>
      </c>
    </row>
    <row r="10" customFormat="false" ht="18" hidden="false" customHeight="true" outlineLevel="0" collapsed="false">
      <c r="A10" s="85" t="s">
        <v>139</v>
      </c>
      <c r="B10" s="89" t="n">
        <f aca="false">RawData!G26</f>
        <v>12700</v>
      </c>
      <c r="C10" s="89" t="n">
        <f aca="false">RawData!G27</f>
        <v>13800</v>
      </c>
      <c r="D10" s="89" t="n">
        <f aca="false">RawData!G28</f>
        <v>15900</v>
      </c>
      <c r="E10" s="89" t="n">
        <f aca="false">RawData!G29</f>
        <v>19100</v>
      </c>
      <c r="F10" s="89" t="n">
        <f aca="false">RawData!G30</f>
        <v>20100</v>
      </c>
      <c r="G10" s="89" t="n">
        <f aca="false">RawData!G31</f>
        <v>20100</v>
      </c>
      <c r="H10" s="89" t="n">
        <f aca="false">RawData!G32</f>
        <v>20100</v>
      </c>
      <c r="I10" s="89" t="n">
        <f aca="false">RawData!G33</f>
        <v>19100</v>
      </c>
      <c r="J10" s="89" t="n">
        <f aca="false">RawData!G34</f>
        <v>18000</v>
      </c>
      <c r="K10" s="89" t="n">
        <f aca="false">RawData!G35</f>
        <v>18000</v>
      </c>
      <c r="L10" s="89" t="n">
        <f aca="false">RawData!G36</f>
        <v>17000</v>
      </c>
      <c r="M10" s="89" t="n">
        <f aca="false">RawData!G37</f>
        <v>17000</v>
      </c>
      <c r="N10" s="87" t="n">
        <f aca="false">SUM(B10:M10)</f>
        <v>210900</v>
      </c>
      <c r="O10" s="88" t="n">
        <f aca="false">IF(N7=0,0,N10/N7)</f>
        <v>0.062014820042343</v>
      </c>
    </row>
    <row r="11" customFormat="false" ht="18" hidden="false" customHeight="true" outlineLevel="0" collapsed="false">
      <c r="A11" s="85" t="s">
        <v>140</v>
      </c>
      <c r="B11" s="89" t="n">
        <f aca="false">RawData!H26</f>
        <v>6400</v>
      </c>
      <c r="C11" s="89" t="n">
        <f aca="false">RawData!H27</f>
        <v>6900</v>
      </c>
      <c r="D11" s="89" t="n">
        <f aca="false">RawData!H28</f>
        <v>8000</v>
      </c>
      <c r="E11" s="89" t="n">
        <f aca="false">RawData!H29</f>
        <v>9500</v>
      </c>
      <c r="F11" s="89" t="n">
        <f aca="false">RawData!H30</f>
        <v>10100</v>
      </c>
      <c r="G11" s="89" t="n">
        <f aca="false">RawData!H31</f>
        <v>10100</v>
      </c>
      <c r="H11" s="89" t="n">
        <f aca="false">RawData!H32</f>
        <v>10100</v>
      </c>
      <c r="I11" s="89" t="n">
        <f aca="false">RawData!H33</f>
        <v>9500</v>
      </c>
      <c r="J11" s="89" t="n">
        <f aca="false">RawData!H34</f>
        <v>9000</v>
      </c>
      <c r="K11" s="89" t="n">
        <f aca="false">RawData!H35</f>
        <v>9000</v>
      </c>
      <c r="L11" s="89" t="n">
        <f aca="false">RawData!H36</f>
        <v>8500</v>
      </c>
      <c r="M11" s="89" t="n">
        <f aca="false">RawData!H37</f>
        <v>8500</v>
      </c>
      <c r="N11" s="87" t="n">
        <f aca="false">SUM(B11:M11)</f>
        <v>105600</v>
      </c>
      <c r="O11" s="88" t="n">
        <f aca="false">IF(N7=0,0,N11/N7)</f>
        <v>0.0310515172900494</v>
      </c>
    </row>
    <row r="12" customFormat="false" ht="18" hidden="false" customHeight="true" outlineLevel="0" collapsed="false">
      <c r="A12" s="90" t="s">
        <v>59</v>
      </c>
      <c r="B12" s="91" t="n">
        <f aca="false">B9+B10+B11</f>
        <v>159170.192307692</v>
      </c>
      <c r="C12" s="91" t="n">
        <f aca="false">C9+C10+C11</f>
        <v>160770.192307692</v>
      </c>
      <c r="D12" s="91" t="n">
        <f aca="false">D9+D10+D11</f>
        <v>163970.192307692</v>
      </c>
      <c r="E12" s="91" t="n">
        <f aca="false">E9+E10+E11</f>
        <v>171416.666666667</v>
      </c>
      <c r="F12" s="91" t="n">
        <f aca="false">F9+F10+F11</f>
        <v>173016.666666667</v>
      </c>
      <c r="G12" s="91" t="n">
        <f aca="false">G9+G10+G11</f>
        <v>173016.666666667</v>
      </c>
      <c r="H12" s="91" t="n">
        <f aca="false">H9+H10+H11</f>
        <v>173016.666666667</v>
      </c>
      <c r="I12" s="91" t="n">
        <f aca="false">I9+I10+I11</f>
        <v>171416.666666667</v>
      </c>
      <c r="J12" s="91" t="n">
        <f aca="false">J9+J10+J11</f>
        <v>169816.666666667</v>
      </c>
      <c r="K12" s="91" t="n">
        <f aca="false">K9+K10+K11</f>
        <v>172563.141025641</v>
      </c>
      <c r="L12" s="91" t="n">
        <f aca="false">L9+L10+L11</f>
        <v>171063.141025641</v>
      </c>
      <c r="M12" s="91" t="n">
        <f aca="false">M9+M10+M11</f>
        <v>171063.141025641</v>
      </c>
      <c r="N12" s="92" t="n">
        <f aca="false">SUM(B12:M12)</f>
        <v>2030300</v>
      </c>
      <c r="O12" s="93" t="n">
        <f aca="false">IF(N7=0,0,N12/N7)</f>
        <v>0.597006586685486</v>
      </c>
    </row>
    <row r="13" customFormat="false" ht="18" hidden="false" customHeight="true" outlineLevel="0" collapsed="false">
      <c r="A13" s="85"/>
      <c r="B13" s="94"/>
      <c r="C13" s="94"/>
      <c r="D13" s="94"/>
      <c r="E13" s="94"/>
      <c r="F13" s="94"/>
      <c r="G13" s="94"/>
      <c r="H13" s="94"/>
      <c r="I13" s="94"/>
      <c r="J13" s="94"/>
      <c r="K13" s="94"/>
      <c r="L13" s="94"/>
      <c r="M13" s="94"/>
      <c r="N13" s="95"/>
      <c r="O13" s="95"/>
    </row>
    <row r="14" customFormat="false" ht="18" hidden="false" customHeight="true" outlineLevel="0" collapsed="false">
      <c r="A14" s="90" t="s">
        <v>141</v>
      </c>
      <c r="B14" s="96" t="n">
        <f aca="false">B7-B12</f>
        <v>119629.807692308</v>
      </c>
      <c r="C14" s="96" t="n">
        <f aca="false">C7-C12</f>
        <v>118029.807692308</v>
      </c>
      <c r="D14" s="96" t="n">
        <f aca="false">D7-D12</f>
        <v>114829.807692308</v>
      </c>
      <c r="E14" s="96" t="n">
        <f aca="false">E7-E12</f>
        <v>111983.333333333</v>
      </c>
      <c r="F14" s="96" t="n">
        <f aca="false">F7-F12</f>
        <v>110383.333333333</v>
      </c>
      <c r="G14" s="96" t="n">
        <f aca="false">G7-G12</f>
        <v>110383.333333333</v>
      </c>
      <c r="H14" s="96" t="n">
        <f aca="false">H7-H12</f>
        <v>110383.333333333</v>
      </c>
      <c r="I14" s="96" t="n">
        <f aca="false">I7-I12</f>
        <v>111983.333333333</v>
      </c>
      <c r="J14" s="96" t="n">
        <f aca="false">J7-J12</f>
        <v>113583.333333333</v>
      </c>
      <c r="K14" s="96" t="n">
        <f aca="false">K7-K12</f>
        <v>115436.858974359</v>
      </c>
      <c r="L14" s="96" t="n">
        <f aca="false">L7-L12</f>
        <v>116936.858974359</v>
      </c>
      <c r="M14" s="96" t="n">
        <f aca="false">M7-M12</f>
        <v>116936.858974359</v>
      </c>
      <c r="N14" s="97" t="n">
        <f aca="false">SUM(B14:M14)</f>
        <v>1370500</v>
      </c>
      <c r="O14" s="98" t="n">
        <f aca="false">IF(N7=0,0,N14/N7)</f>
        <v>0.402993413314514</v>
      </c>
    </row>
    <row r="15" customFormat="false" ht="18" hidden="false" customHeight="true" outlineLevel="0" collapsed="false">
      <c r="A15" s="99" t="s">
        <v>60</v>
      </c>
      <c r="B15" s="100" t="n">
        <f aca="false">B14</f>
        <v>119629.807692308</v>
      </c>
      <c r="C15" s="100" t="n">
        <f aca="false">C14</f>
        <v>118029.807692308</v>
      </c>
      <c r="D15" s="100" t="n">
        <f aca="false">D14</f>
        <v>114829.807692308</v>
      </c>
      <c r="E15" s="100" t="n">
        <f aca="false">E14</f>
        <v>111983.333333333</v>
      </c>
      <c r="F15" s="100" t="n">
        <f aca="false">F14</f>
        <v>110383.333333333</v>
      </c>
      <c r="G15" s="100" t="n">
        <f aca="false">G14</f>
        <v>110383.333333333</v>
      </c>
      <c r="H15" s="100" t="n">
        <f aca="false">H14</f>
        <v>110383.333333333</v>
      </c>
      <c r="I15" s="100" t="n">
        <f aca="false">I14</f>
        <v>111983.333333333</v>
      </c>
      <c r="J15" s="100" t="n">
        <f aca="false">J14</f>
        <v>113583.333333333</v>
      </c>
      <c r="K15" s="100" t="n">
        <f aca="false">K14</f>
        <v>115436.858974359</v>
      </c>
      <c r="L15" s="100" t="n">
        <f aca="false">L14</f>
        <v>116936.858974359</v>
      </c>
      <c r="M15" s="100" t="n">
        <f aca="false">M14</f>
        <v>116936.858974359</v>
      </c>
      <c r="N15" s="100" t="n">
        <f aca="false">SUM(B15:M15)</f>
        <v>1370500</v>
      </c>
      <c r="O15" s="101" t="n">
        <f aca="false">IF(N7=0,0,N15/N7)</f>
        <v>0.402993413314514</v>
      </c>
    </row>
    <row r="16" customFormat="false" ht="18" hidden="false" customHeight="true" outlineLevel="0" collapsed="false">
      <c r="A16" s="85" t="s">
        <v>142</v>
      </c>
      <c r="B16" s="102" t="n">
        <f aca="false">IF(B7=0,0,B15/B7)</f>
        <v>0.429088262884891</v>
      </c>
      <c r="C16" s="102" t="n">
        <f aca="false">IF(C7=0,0,C15/C7)</f>
        <v>0.42334938196667</v>
      </c>
      <c r="D16" s="102" t="n">
        <f aca="false">IF(D7=0,0,D15/D7)</f>
        <v>0.411871620130228</v>
      </c>
      <c r="E16" s="102" t="n">
        <f aca="false">IF(E7=0,0,E15/E7)</f>
        <v>0.395142319454246</v>
      </c>
      <c r="F16" s="102" t="n">
        <f aca="false">IF(F7=0,0,F15/F7)</f>
        <v>0.389496589037874</v>
      </c>
      <c r="G16" s="102" t="n">
        <f aca="false">IF(G7=0,0,G15/G7)</f>
        <v>0.389496589037874</v>
      </c>
      <c r="H16" s="102" t="n">
        <f aca="false">IF(H7=0,0,H15/H7)</f>
        <v>0.389496589037874</v>
      </c>
      <c r="I16" s="102" t="n">
        <f aca="false">IF(I7=0,0,I15/I7)</f>
        <v>0.395142319454246</v>
      </c>
      <c r="J16" s="102" t="n">
        <f aca="false">IF(J7=0,0,J15/J7)</f>
        <v>0.400788049870619</v>
      </c>
      <c r="K16" s="102" t="n">
        <f aca="false">IF(K7=0,0,K15/K7)</f>
        <v>0.400822426994302</v>
      </c>
      <c r="L16" s="102" t="n">
        <f aca="false">IF(L7=0,0,L15/L7)</f>
        <v>0.406030760327635</v>
      </c>
      <c r="M16" s="102" t="n">
        <f aca="false">IF(M7=0,0,M15/M7)</f>
        <v>0.406030760327635</v>
      </c>
      <c r="N16" s="98" t="n">
        <f aca="false">IF(N7=0,0,N15/N7)</f>
        <v>0.402993413314514</v>
      </c>
      <c r="O16" s="98"/>
    </row>
    <row r="17" customFormat="false" ht="18" hidden="false" customHeight="true" outlineLevel="0" collapsed="false">
      <c r="A17" s="85"/>
      <c r="B17" s="95"/>
      <c r="C17" s="95"/>
      <c r="D17" s="95"/>
      <c r="E17" s="95"/>
      <c r="F17" s="95"/>
      <c r="G17" s="95"/>
      <c r="H17" s="95"/>
      <c r="I17" s="95"/>
      <c r="J17" s="95"/>
      <c r="K17" s="95"/>
      <c r="L17" s="95"/>
      <c r="M17" s="95"/>
      <c r="N17" s="95"/>
      <c r="O17" s="95"/>
    </row>
    <row r="18" customFormat="false" ht="18" hidden="false" customHeight="true" outlineLevel="0" collapsed="false">
      <c r="A18" s="85" t="s">
        <v>143</v>
      </c>
      <c r="B18" s="94" t="n">
        <f aca="false">0.02*B7</f>
        <v>5576</v>
      </c>
      <c r="C18" s="94" t="n">
        <f aca="false">0.02*C7</f>
        <v>5576</v>
      </c>
      <c r="D18" s="94" t="n">
        <f aca="false">0.02*D7</f>
        <v>5576</v>
      </c>
      <c r="E18" s="94" t="n">
        <f aca="false">0.02*E7</f>
        <v>5668</v>
      </c>
      <c r="F18" s="94" t="n">
        <f aca="false">0.02*F7</f>
        <v>5668</v>
      </c>
      <c r="G18" s="94" t="n">
        <f aca="false">0.02*G7</f>
        <v>5668</v>
      </c>
      <c r="H18" s="94" t="n">
        <f aca="false">0.02*H7</f>
        <v>5668</v>
      </c>
      <c r="I18" s="94" t="n">
        <f aca="false">0.02*I7</f>
        <v>5668</v>
      </c>
      <c r="J18" s="94" t="n">
        <f aca="false">0.02*J7</f>
        <v>5668</v>
      </c>
      <c r="K18" s="94" t="n">
        <f aca="false">0.02*K7</f>
        <v>5760</v>
      </c>
      <c r="L18" s="94" t="n">
        <f aca="false">0.02*L7</f>
        <v>5760</v>
      </c>
      <c r="M18" s="94" t="n">
        <f aca="false">0.02*M7</f>
        <v>5760</v>
      </c>
      <c r="N18" s="87" t="n">
        <f aca="false">SUM(B18:M18)</f>
        <v>68016</v>
      </c>
      <c r="O18" s="88" t="n">
        <f aca="false">IF(N7=0,0,N18/N7)</f>
        <v>0.02</v>
      </c>
    </row>
    <row r="19" customFormat="false" ht="18" hidden="false" customHeight="true" outlineLevel="0" collapsed="false">
      <c r="A19" s="72" t="s">
        <v>144</v>
      </c>
      <c r="B19" s="91" t="n">
        <f aca="false">B15-B18</f>
        <v>114053.807692308</v>
      </c>
      <c r="C19" s="91" t="n">
        <f aca="false">C15-C18</f>
        <v>112453.807692308</v>
      </c>
      <c r="D19" s="91" t="n">
        <f aca="false">D15-D18</f>
        <v>109253.807692308</v>
      </c>
      <c r="E19" s="91" t="n">
        <f aca="false">E15-E18</f>
        <v>106315.333333333</v>
      </c>
      <c r="F19" s="91" t="n">
        <f aca="false">F15-F18</f>
        <v>104715.333333333</v>
      </c>
      <c r="G19" s="91" t="n">
        <f aca="false">G15-G18</f>
        <v>104715.333333333</v>
      </c>
      <c r="H19" s="91" t="n">
        <f aca="false">H15-H18</f>
        <v>104715.333333333</v>
      </c>
      <c r="I19" s="91" t="n">
        <f aca="false">I15-I18</f>
        <v>106315.333333333</v>
      </c>
      <c r="J19" s="91" t="n">
        <f aca="false">J15-J18</f>
        <v>107915.333333333</v>
      </c>
      <c r="K19" s="91" t="n">
        <f aca="false">K15-K18</f>
        <v>109676.858974359</v>
      </c>
      <c r="L19" s="91" t="n">
        <f aca="false">L15-L18</f>
        <v>111176.858974359</v>
      </c>
      <c r="M19" s="91" t="n">
        <f aca="false">M15-M18</f>
        <v>111176.858974359</v>
      </c>
      <c r="N19" s="103" t="n">
        <f aca="false">SUM(B19:M19)</f>
        <v>1302484</v>
      </c>
      <c r="O19" s="93" t="n">
        <f aca="false">IF(N7=0,0,N19/N7)</f>
        <v>0.382993413314514</v>
      </c>
    </row>
    <row r="20" customFormat="false" ht="15" hidden="false" customHeight="false" outlineLevel="0" collapsed="false">
      <c r="A20" s="104" t="s">
        <v>145</v>
      </c>
      <c r="B20" s="105" t="n">
        <f aca="false">IF(B19&gt;0,B19*0.21,0)</f>
        <v>23951.2996153846</v>
      </c>
      <c r="C20" s="105" t="n">
        <f aca="false">IF(C19&gt;0,C19*0.21,0)</f>
        <v>23615.2996153846</v>
      </c>
      <c r="D20" s="105" t="n">
        <f aca="false">IF(D19&gt;0,D19*0.21,0)</f>
        <v>22943.2996153846</v>
      </c>
      <c r="E20" s="105" t="n">
        <f aca="false">IF(E19&gt;0,E19*0.21,0)</f>
        <v>22326.22</v>
      </c>
      <c r="F20" s="105" t="n">
        <f aca="false">IF(F19&gt;0,F19*0.21,0)</f>
        <v>21990.22</v>
      </c>
      <c r="G20" s="105" t="n">
        <f aca="false">IF(G19&gt;0,G19*0.21,0)</f>
        <v>21990.22</v>
      </c>
      <c r="H20" s="105" t="n">
        <f aca="false">IF(H19&gt;0,H19*0.21,0)</f>
        <v>21990.22</v>
      </c>
      <c r="I20" s="105" t="n">
        <f aca="false">IF(I19&gt;0,I19*0.21,0)</f>
        <v>22326.22</v>
      </c>
      <c r="J20" s="105" t="n">
        <f aca="false">IF(J19&gt;0,J19*0.21,0)</f>
        <v>22662.22</v>
      </c>
      <c r="K20" s="105" t="n">
        <f aca="false">IF(K19&gt;0,K19*0.21,0)</f>
        <v>23032.1403846154</v>
      </c>
      <c r="L20" s="105" t="n">
        <f aca="false">IF(L19&gt;0,L19*0.21,0)</f>
        <v>23347.1403846154</v>
      </c>
      <c r="M20" s="105" t="n">
        <f aca="false">IF(M19&gt;0,M19*0.21,0)</f>
        <v>23347.1403846154</v>
      </c>
      <c r="N20" s="87" t="n">
        <f aca="false">SUM(B20:M20)</f>
        <v>273521.64</v>
      </c>
      <c r="O20" s="88" t="n">
        <f aca="false">IF(N7=0,0,N20/N7)</f>
        <v>0.080428616796048</v>
      </c>
    </row>
    <row r="21" customFormat="false" ht="15" hidden="false" customHeight="false" outlineLevel="0" collapsed="false">
      <c r="A21" s="72" t="s">
        <v>146</v>
      </c>
      <c r="B21" s="106" t="n">
        <f aca="false">B19-B20</f>
        <v>90102.5080769231</v>
      </c>
      <c r="C21" s="106" t="n">
        <f aca="false">C19-C20</f>
        <v>88838.5080769231</v>
      </c>
      <c r="D21" s="106" t="n">
        <f aca="false">D19-D20</f>
        <v>86310.5080769231</v>
      </c>
      <c r="E21" s="106" t="n">
        <f aca="false">E19-E20</f>
        <v>83989.1133333333</v>
      </c>
      <c r="F21" s="106" t="n">
        <f aca="false">F19-F20</f>
        <v>82725.1133333333</v>
      </c>
      <c r="G21" s="106" t="n">
        <f aca="false">G19-G20</f>
        <v>82725.1133333333</v>
      </c>
      <c r="H21" s="106" t="n">
        <f aca="false">H19-H20</f>
        <v>82725.1133333333</v>
      </c>
      <c r="I21" s="106" t="n">
        <f aca="false">I19-I20</f>
        <v>83989.1133333333</v>
      </c>
      <c r="J21" s="106" t="n">
        <f aca="false">J19-J20</f>
        <v>85253.1133333333</v>
      </c>
      <c r="K21" s="106" t="n">
        <f aca="false">K19-K20</f>
        <v>86644.7185897436</v>
      </c>
      <c r="L21" s="106" t="n">
        <f aca="false">L19-L20</f>
        <v>87829.7185897436</v>
      </c>
      <c r="M21" s="106" t="n">
        <f aca="false">M19-M20</f>
        <v>87829.7185897436</v>
      </c>
      <c r="N21" s="103" t="n">
        <f aca="false">SUM(B21:M21)</f>
        <v>1028962.36</v>
      </c>
      <c r="O21" s="93" t="n">
        <f aca="false">IF(N21=0,0,N21/N7)</f>
        <v>0.302564796518466</v>
      </c>
    </row>
    <row r="1048575" customFormat="false" ht="12.8" hidden="false" customHeight="false" outlineLevel="0" collapsed="false"/>
    <row r="1048576" customFormat="false" ht="12.8" hidden="false" customHeight="false" outlineLevel="0" collapsed="false"/>
  </sheetData>
  <mergeCells count="2">
    <mergeCell ref="A1:P1"/>
    <mergeCell ref="A2:P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I3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selection pane="topLeft" activeCell="A1" activeCellId="0" sqref="A1"/>
    </sheetView>
  </sheetViews>
  <sheetFormatPr defaultColWidth="8.54296875" defaultRowHeight="15" customHeight="false" zeroHeight="false" outlineLevelRow="0" outlineLevelCol="0"/>
  <sheetData>
    <row r="2" customFormat="false" ht="15" hidden="false" customHeight="false" outlineLevel="0" collapsed="false">
      <c r="B2" s="107" t="s">
        <v>147</v>
      </c>
      <c r="C2" s="107"/>
      <c r="D2" s="107"/>
      <c r="E2" s="107"/>
      <c r="F2" s="107"/>
      <c r="G2" s="107"/>
      <c r="H2" s="107"/>
      <c r="I2" s="107"/>
    </row>
    <row r="3" customFormat="false" ht="15" hidden="false" customHeight="false" outlineLevel="0" collapsed="false">
      <c r="B3" s="107"/>
      <c r="C3" s="107"/>
      <c r="D3" s="107"/>
      <c r="E3" s="107"/>
      <c r="F3" s="107"/>
      <c r="G3" s="107"/>
      <c r="H3" s="107"/>
      <c r="I3" s="107"/>
    </row>
  </sheetData>
  <mergeCells count="1">
    <mergeCell ref="B2:I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B19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selection pane="topLeft" activeCell="B7" activeCellId="0" sqref="B7"/>
    </sheetView>
  </sheetViews>
  <sheetFormatPr defaultColWidth="8.54296875" defaultRowHeight="15" customHeight="false" zeroHeight="false" outlineLevelRow="0" outlineLevelCol="0"/>
  <cols>
    <col collapsed="false" customWidth="true" hidden="false" outlineLevel="0" max="2" min="2" style="2" width="70"/>
  </cols>
  <sheetData>
    <row r="2" customFormat="false" ht="15.75" hidden="false" customHeight="true" outlineLevel="0" collapsed="false">
      <c r="B2" s="108" t="s">
        <v>148</v>
      </c>
    </row>
    <row r="3" customFormat="false" ht="15.75" hidden="false" customHeight="true" outlineLevel="0" collapsed="false">
      <c r="B3" s="109"/>
    </row>
    <row r="4" customFormat="false" ht="15.75" hidden="false" customHeight="true" outlineLevel="0" collapsed="false">
      <c r="B4" s="110" t="s">
        <v>149</v>
      </c>
    </row>
    <row r="5" customFormat="false" ht="15.75" hidden="false" customHeight="true" outlineLevel="0" collapsed="false">
      <c r="B5" s="109"/>
    </row>
    <row r="6" customFormat="false" ht="15.75" hidden="false" customHeight="true" outlineLevel="0" collapsed="false">
      <c r="B6" s="111" t="s">
        <v>150</v>
      </c>
    </row>
    <row r="7" customFormat="false" ht="15.75" hidden="false" customHeight="true" outlineLevel="0" collapsed="false">
      <c r="B7" s="109" t="s">
        <v>151</v>
      </c>
    </row>
    <row r="8" customFormat="false" ht="15.75" hidden="false" customHeight="true" outlineLevel="0" collapsed="false">
      <c r="B8" s="109" t="s">
        <v>152</v>
      </c>
    </row>
    <row r="9" customFormat="false" ht="15.75" hidden="false" customHeight="true" outlineLevel="0" collapsed="false">
      <c r="B9" s="109" t="s">
        <v>153</v>
      </c>
    </row>
    <row r="10" customFormat="false" ht="15.75" hidden="false" customHeight="true" outlineLevel="0" collapsed="false">
      <c r="B10" s="109"/>
    </row>
    <row r="11" customFormat="false" ht="15.75" hidden="false" customHeight="true" outlineLevel="0" collapsed="false">
      <c r="B11" s="111" t="s">
        <v>154</v>
      </c>
    </row>
    <row r="12" customFormat="false" ht="15.75" hidden="false" customHeight="true" outlineLevel="0" collapsed="false">
      <c r="B12" s="109" t="s">
        <v>155</v>
      </c>
    </row>
    <row r="13" customFormat="false" ht="15.75" hidden="false" customHeight="true" outlineLevel="0" collapsed="false">
      <c r="B13" s="109" t="s">
        <v>156</v>
      </c>
    </row>
    <row r="14" customFormat="false" ht="15.75" hidden="false" customHeight="true" outlineLevel="0" collapsed="false">
      <c r="B14" s="109" t="s">
        <v>157</v>
      </c>
    </row>
    <row r="15" customFormat="false" ht="15.75" hidden="false" customHeight="true" outlineLevel="0" collapsed="false">
      <c r="B15" s="109"/>
    </row>
    <row r="16" customFormat="false" ht="15.75" hidden="false" customHeight="true" outlineLevel="0" collapsed="false">
      <c r="B16" s="111" t="s">
        <v>158</v>
      </c>
    </row>
    <row r="17" customFormat="false" ht="15.75" hidden="false" customHeight="true" outlineLevel="0" collapsed="false">
      <c r="B17" s="109" t="s">
        <v>159</v>
      </c>
    </row>
    <row r="18" customFormat="false" ht="15.75" hidden="false" customHeight="true" outlineLevel="0" collapsed="false">
      <c r="B18" s="109" t="s">
        <v>160</v>
      </c>
    </row>
    <row r="19" customFormat="false" ht="15.75" hidden="false" customHeight="true" outlineLevel="0" collapsed="false">
      <c r="B19" s="109" t="s">
        <v>161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28"/>
  <sheetViews>
    <sheetView showFormulas="false" showGridLines="true" showRowColHeaders="true" showZeros="true" rightToLeft="false" tabSelected="false" showOutlineSymbols="true" defaultGridColor="true" view="normal" topLeftCell="A11" colorId="64" zoomScale="65" zoomScaleNormal="65" zoomScalePageLayoutView="100" workbookViewId="0">
      <selection pane="topLeft" activeCell="G37" activeCellId="0" sqref="G37"/>
    </sheetView>
  </sheetViews>
  <sheetFormatPr defaultColWidth="8.54296875" defaultRowHeight="15" customHeight="false" zeroHeight="false" outlineLevelRow="0" outlineLevelCol="0"/>
  <cols>
    <col collapsed="false" customWidth="true" hidden="false" outlineLevel="0" max="2" min="2" style="2" width="28"/>
    <col collapsed="false" customWidth="true" hidden="false" outlineLevel="0" max="4" min="4" style="2" width="20"/>
    <col collapsed="false" customWidth="true" hidden="false" outlineLevel="0" max="5" min="5" style="2" width="55"/>
  </cols>
  <sheetData>
    <row r="2" customFormat="false" ht="24" hidden="false" customHeight="true" outlineLevel="0" collapsed="false">
      <c r="B2" s="112" t="s">
        <v>162</v>
      </c>
      <c r="C2" s="112"/>
      <c r="D2" s="112"/>
      <c r="E2" s="112"/>
      <c r="F2" s="112"/>
    </row>
    <row r="3" customFormat="false" ht="15" hidden="false" customHeight="false" outlineLevel="0" collapsed="false">
      <c r="B3" s="113" t="s">
        <v>163</v>
      </c>
      <c r="D3" s="113" t="s">
        <v>164</v>
      </c>
      <c r="E3" s="113" t="s">
        <v>165</v>
      </c>
    </row>
    <row r="4" customFormat="false" ht="15.75" hidden="false" customHeight="true" outlineLevel="0" collapsed="false">
      <c r="B4" s="114" t="s">
        <v>166</v>
      </c>
    </row>
    <row r="5" customFormat="false" ht="15.75" hidden="false" customHeight="true" outlineLevel="0" collapsed="false">
      <c r="B5" s="115" t="s">
        <v>167</v>
      </c>
    </row>
    <row r="6" customFormat="false" ht="15.75" hidden="false" customHeight="true" outlineLevel="0" collapsed="false">
      <c r="B6" s="116" t="s">
        <v>168</v>
      </c>
      <c r="D6" s="117" t="s">
        <v>169</v>
      </c>
      <c r="E6" s="118" t="s">
        <v>170</v>
      </c>
    </row>
    <row r="7" customFormat="false" ht="15.75" hidden="false" customHeight="true" outlineLevel="0" collapsed="false">
      <c r="B7" s="116" t="s">
        <v>171</v>
      </c>
      <c r="D7" s="117" t="s">
        <v>172</v>
      </c>
      <c r="E7" s="118" t="s">
        <v>173</v>
      </c>
    </row>
    <row r="8" customFormat="false" ht="15.75" hidden="false" customHeight="true" outlineLevel="0" collapsed="false">
      <c r="B8" s="116" t="s">
        <v>174</v>
      </c>
      <c r="D8" s="117" t="s">
        <v>175</v>
      </c>
      <c r="E8" s="118" t="s">
        <v>176</v>
      </c>
    </row>
    <row r="9" customFormat="false" ht="15.75" hidden="false" customHeight="true" outlineLevel="0" collapsed="false">
      <c r="B9" s="116" t="s">
        <v>177</v>
      </c>
      <c r="D9" s="117" t="s">
        <v>178</v>
      </c>
      <c r="E9" s="118" t="s">
        <v>179</v>
      </c>
    </row>
    <row r="10" customFormat="false" ht="15.75" hidden="false" customHeight="true" outlineLevel="0" collapsed="false">
      <c r="B10" s="116" t="s">
        <v>180</v>
      </c>
      <c r="D10" s="117" t="s">
        <v>181</v>
      </c>
      <c r="E10" s="118" t="s">
        <v>182</v>
      </c>
    </row>
    <row r="11" customFormat="false" ht="15.75" hidden="false" customHeight="true" outlineLevel="0" collapsed="false">
      <c r="B11" s="116" t="s">
        <v>183</v>
      </c>
      <c r="D11" s="117" t="s">
        <v>184</v>
      </c>
      <c r="E11" s="118" t="s">
        <v>185</v>
      </c>
    </row>
    <row r="12" customFormat="false" ht="15.75" hidden="false" customHeight="true" outlineLevel="0" collapsed="false">
      <c r="B12" s="116" t="s">
        <v>186</v>
      </c>
      <c r="D12" s="117" t="s">
        <v>187</v>
      </c>
      <c r="E12" s="118" t="s">
        <v>188</v>
      </c>
    </row>
    <row r="13" customFormat="false" ht="15.75" hidden="false" customHeight="true" outlineLevel="0" collapsed="false">
      <c r="B13" s="116"/>
    </row>
    <row r="14" customFormat="false" ht="15.75" hidden="false" customHeight="true" outlineLevel="0" collapsed="false">
      <c r="B14" s="114" t="s">
        <v>189</v>
      </c>
    </row>
    <row r="15" customFormat="false" ht="15.75" hidden="false" customHeight="true" outlineLevel="0" collapsed="false">
      <c r="B15" s="116" t="s">
        <v>190</v>
      </c>
      <c r="D15" s="117" t="s">
        <v>191</v>
      </c>
      <c r="E15" s="118" t="s">
        <v>192</v>
      </c>
    </row>
    <row r="16" customFormat="false" ht="15.75" hidden="false" customHeight="true" outlineLevel="0" collapsed="false">
      <c r="B16" s="116" t="s">
        <v>193</v>
      </c>
      <c r="D16" s="117" t="s">
        <v>194</v>
      </c>
      <c r="E16" s="118" t="s">
        <v>195</v>
      </c>
    </row>
    <row r="17" customFormat="false" ht="15.75" hidden="false" customHeight="true" outlineLevel="0" collapsed="false">
      <c r="B17" s="116" t="s">
        <v>196</v>
      </c>
      <c r="D17" s="117" t="s">
        <v>197</v>
      </c>
      <c r="E17" s="118" t="s">
        <v>198</v>
      </c>
    </row>
    <row r="18" customFormat="false" ht="15.75" hidden="false" customHeight="true" outlineLevel="0" collapsed="false">
      <c r="B18" s="116" t="s">
        <v>199</v>
      </c>
      <c r="D18" s="117" t="s">
        <v>200</v>
      </c>
      <c r="E18" s="118" t="s">
        <v>201</v>
      </c>
    </row>
    <row r="19" customFormat="false" ht="15.75" hidden="false" customHeight="true" outlineLevel="0" collapsed="false">
      <c r="B19" s="116"/>
    </row>
    <row r="20" customFormat="false" ht="15.75" hidden="false" customHeight="true" outlineLevel="0" collapsed="false">
      <c r="B20" s="114" t="s">
        <v>202</v>
      </c>
    </row>
    <row r="21" customFormat="false" ht="15.75" hidden="false" customHeight="true" outlineLevel="0" collapsed="false">
      <c r="B21" s="116" t="s">
        <v>203</v>
      </c>
      <c r="D21" s="117" t="s">
        <v>204</v>
      </c>
      <c r="E21" s="118" t="s">
        <v>205</v>
      </c>
    </row>
    <row r="22" customFormat="false" ht="15.75" hidden="false" customHeight="true" outlineLevel="0" collapsed="false">
      <c r="B22" s="116" t="s">
        <v>206</v>
      </c>
      <c r="D22" s="117" t="s">
        <v>207</v>
      </c>
      <c r="E22" s="118" t="s">
        <v>208</v>
      </c>
    </row>
    <row r="23" customFormat="false" ht="15.75" hidden="false" customHeight="true" outlineLevel="0" collapsed="false">
      <c r="B23" s="116" t="s">
        <v>209</v>
      </c>
      <c r="D23" s="117" t="s">
        <v>204</v>
      </c>
      <c r="E23" s="118" t="s">
        <v>210</v>
      </c>
    </row>
    <row r="24" customFormat="false" ht="15.75" hidden="false" customHeight="true" outlineLevel="0" collapsed="false">
      <c r="B24" s="116"/>
    </row>
    <row r="25" customFormat="false" ht="15.75" hidden="false" customHeight="true" outlineLevel="0" collapsed="false">
      <c r="B25" s="114" t="s">
        <v>211</v>
      </c>
    </row>
    <row r="26" customFormat="false" ht="15.75" hidden="false" customHeight="true" outlineLevel="0" collapsed="false">
      <c r="B26" s="116" t="s">
        <v>212</v>
      </c>
      <c r="D26" s="117" t="s">
        <v>213</v>
      </c>
      <c r="E26" s="118" t="s">
        <v>214</v>
      </c>
    </row>
    <row r="27" customFormat="false" ht="15.75" hidden="false" customHeight="true" outlineLevel="0" collapsed="false">
      <c r="B27" s="116" t="s">
        <v>215</v>
      </c>
      <c r="D27" s="117" t="s">
        <v>216</v>
      </c>
    </row>
    <row r="28" customFormat="false" ht="15.75" hidden="false" customHeight="true" outlineLevel="0" collapsed="false">
      <c r="B28" s="116" t="s">
        <v>217</v>
      </c>
      <c r="D28" s="117" t="s">
        <v>218</v>
      </c>
    </row>
  </sheetData>
  <mergeCells count="1">
    <mergeCell ref="B2:F2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Roman,Normal"&amp;12&amp;Kffffff&amp;A</oddHeader>
    <oddFooter>&amp;C&amp;"Times New Roman,Normal"&amp;12&amp;KffffffPágina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163</TotalTime>
  <Application>LibreOffice/26.2.4.2$Windows_X86_64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2026-06-12T23:34:40Z</dcterms:created>
  <dc:creator>openpyxl</dc:creator>
  <dc:description/>
  <dc:language>pt-PT</dc:language>
  <cp:lastModifiedBy/>
  <dcterms:modified xsi:type="dcterms:W3CDTF">2026-07-03T15:44:41Z</dcterms:modified>
  <cp:revision>21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